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<sst xmlns="http://schemas.openxmlformats.org/spreadsheetml/2006/main" count="325" uniqueCount="187">
  <si>
    <t>Address (Dec)</t>
  </si>
  <si>
    <t>D7</t>
  </si>
  <si>
    <t>D6</t>
  </si>
  <si>
    <t>D5</t>
  </si>
  <si>
    <t>D4</t>
  </si>
  <si>
    <t>D3</t>
  </si>
  <si>
    <t>D2</t>
  </si>
  <si>
    <t>D1</t>
  </si>
  <si>
    <t>D0</t>
  </si>
  <si>
    <t>default</t>
  </si>
  <si>
    <t>DESCRIPTION</t>
  </si>
  <si>
    <t>rsvd</t>
  </si>
  <si>
    <t>addr&lt;3:0&gt;</t>
  </si>
  <si>
    <t>rd done</t>
  </si>
  <si>
    <t>block rst</t>
  </si>
  <si>
    <t>rst</t>
  </si>
  <si>
    <t>0RRR RR00b</t>
  </si>
  <si>
    <t xml:space="preserve">addr
 观测 AD[3:0] bits
 [6]: AD3
 [5]: AD2
 [4]: AD1
 [3]: AD0
rd done=1 设备完成从外部EEPROM的读取
block rst 禁止bit0 复位寄存器
rst 复位寄存器到初始值
</t>
  </si>
  <si>
    <t>pd&lt;7:0&gt;</t>
  </si>
  <si>
    <t>0000 0000b</t>
  </si>
  <si>
    <t xml:space="preserve"> [7]: CH7 (D_IN1– S_OUTB1)
 [6]: CH6 (D_IN1– S_OUTA1)
 [5]: CH5 (D_IN0– S_OUTB0)
 [4]: CH4 (D_IN0– S_OUTA0)
 [3]: CH3 (D_OUT1– S_INB1)
 [2]: CH2 (D_OUT1– S_INA1)
 [1]: CH1 (D_OUT0– S_INB0)
 [0]: CH0 (D_OUT0– S_INA0)
0x00所有通道使能  0xFF所有通道禁用
使能PD功能需要or_rstpin置1
</t>
  </si>
  <si>
    <t>or_rstpin</t>
  </si>
  <si>
    <t>or_rstpin  
1 :禁用 reset 引脚控制  reg_01控制
0：允许 reset 引脚控制</t>
  </si>
  <si>
    <t>rxdet_pw_ctrl&lt;1:0&gt;</t>
  </si>
  <si>
    <t>rstn_rxdet</t>
  </si>
  <si>
    <t>reg19_ctrl&lt;1:0&gt;</t>
  </si>
  <si>
    <t>1010 0010b</t>
  </si>
  <si>
    <t>采用默认</t>
  </si>
  <si>
    <t>reg21_ctrl&lt;1:0&gt;</t>
  </si>
  <si>
    <t>0000 0010b</t>
  </si>
  <si>
    <t>en_rxlos&lt;7:0&gt;</t>
  </si>
  <si>
    <t>1111 1111b</t>
  </si>
  <si>
    <t>采用默认
对应CH0~7，RX los_det控制：
0：关闭RX los det; 1. 打开</t>
  </si>
  <si>
    <t>or_eq_pin</t>
  </si>
  <si>
    <t>or_vga_pin</t>
  </si>
  <si>
    <t>or_dem_pin</t>
  </si>
  <si>
    <t>rxdet_600ms_ctrl</t>
  </si>
  <si>
    <t>or_eq_pin  
=1 禁用eq引脚控制，寄存器配置
=0  允许eq引脚控制
or_vga_pin 
=1 禁用vga引脚控制，寄存器配置
=0 允许vga引脚控制
or_dem_pin
=1 禁用dem引脚控制，寄存器配置
=0 允许dem引脚控制</t>
  </si>
  <si>
    <t>en_hf&lt;7:0&gt;</t>
  </si>
  <si>
    <t>均衡增强 ：增强高频boosting
从[0]到[7]依次对应CH0~CH7
1:开启     0：关闭</t>
  </si>
  <si>
    <t>or_mode_pin</t>
  </si>
  <si>
    <t>or_enhf_pin</t>
  </si>
  <si>
    <t>or_enhf_pin  
=1 禁用enhf引脚控制，寄存器配置
=0  允许enhf引脚控制
or_mode_pin =1 禁用MOOD引脚控制，寄存器配置
=0 允许MOOD引脚控制</t>
  </si>
  <si>
    <t>drv_dly_cctrl_ch1&lt;1:0&gt;</t>
  </si>
  <si>
    <t>drv_dly_ictrl_ch1&lt;1:0&gt;</t>
  </si>
  <si>
    <t>rxdet_vrefn_ch1&lt;1:0&gt;</t>
  </si>
  <si>
    <t>rxdet_vrefp_ch1&lt;1:0&gt;</t>
  </si>
  <si>
    <t>0011 0000b</t>
  </si>
  <si>
    <t xml:space="preserve">采用默认  </t>
  </si>
  <si>
    <t>drv_dly_cctrl_ch3&lt;1:0&gt;</t>
  </si>
  <si>
    <t>drv_dly_ictrl_ch3&lt;1:0&gt;</t>
  </si>
  <si>
    <t>rxdet_vrefn_ch3&lt;1:0&gt;</t>
  </si>
  <si>
    <t>rxdet_vrefp_ch3&lt;1:0&gt;</t>
  </si>
  <si>
    <t>rxdet_vrefn_ch4_b&lt;1:0&gt;</t>
  </si>
  <si>
    <t>rxdet_vrefp_ch4_b&lt;1:0&gt;</t>
  </si>
  <si>
    <t>rxdet_vrefn_ch4_a&lt;1:0&gt;</t>
  </si>
  <si>
    <t>rxdet_vrefp_ch4_a&lt;1:0&gt;</t>
  </si>
  <si>
    <t>rxdet_vrefn_ch6_b&lt;1:0&gt;</t>
  </si>
  <si>
    <t>rxdet_vrefp_ch6_b&lt;1:0&gt;</t>
  </si>
  <si>
    <t>rxdet_vrefn_ch6_a&lt;1:0&gt;</t>
  </si>
  <si>
    <t>rxdet_vrefp_ch6_a&lt;1:0&gt;</t>
  </si>
  <si>
    <t>drv_dly_cctrl_ch6&lt;1:0&gt;</t>
  </si>
  <si>
    <t>drv_dly_ictrl_ch6&lt;1:0&gt;</t>
  </si>
  <si>
    <t>drv_dly_cctrl_ch4&lt;1:0&gt;</t>
  </si>
  <si>
    <t>drv_dly_ictrl_ch4&lt;1:0&gt;</t>
  </si>
  <si>
    <t>0011 0011b</t>
  </si>
  <si>
    <t>ctle_mf_ch0&lt;3:0&gt;</t>
  </si>
  <si>
    <t>rxdet_ch0&lt;1:0&gt;</t>
  </si>
  <si>
    <t>1010 1100b</t>
  </si>
  <si>
    <t xml:space="preserve">ctle_mf_ch0：采用默认
rxdet_ch0
=00'b 输入为高阻
=01‘b Auto Rx-Detect ，直到检测为高阻，或检测为50R
=10’b Auto Rx-Detect 直到检测为高阻，或检测为50R
=11‘b bypass rx_det电路，输入自动为50R 
</t>
  </si>
  <si>
    <t>ctle_ctrl_ch0&lt;4:0&gt;</t>
  </si>
  <si>
    <t>0000 1000b</t>
  </si>
  <si>
    <t>ctle_ctrl_ch0
EQ控制共64级，配合reg7_enhf寄存器使用，
enhf=0: 0~1F分别对应pin_mode_eq控制的32级（1~32）
enhf=1: 0~1F分别对应pin_mode_eq控制的32级（33~64）</t>
  </si>
  <si>
    <t>ib_tempco_ctrl&lt;2:0&gt;</t>
  </si>
  <si>
    <t>0000 0100b</t>
  </si>
  <si>
    <t>ctle_mf_ch1&lt;3:0&gt;</t>
  </si>
  <si>
    <t>rxdet_ch1&lt;1:0&gt;</t>
  </si>
  <si>
    <t>vga_ctrl_ch1&lt;1:0&gt;</t>
  </si>
  <si>
    <t>1010 1110b</t>
  </si>
  <si>
    <t xml:space="preserve">ctle_mf_ch1：采用默认
rxdet_ch1
=00'b 输入为高阻
=01‘b Auto Rx-Detect 直到检测为高阻，或检测为50R
=10’b Auto Rx-Detect 直到检测为高阻，或检测为50R
=11‘b bypass rx_det电路，输入自动为50R 
vga_ctrl_ch1线性度控制：
00: -2dB     01: -1dB
10:  0.5dB   11:1.5dB
</t>
  </si>
  <si>
    <t>ctle_ctrl_ch1&lt;4:0&gt;</t>
  </si>
  <si>
    <t>ctle_ctrl_ch1
EQ控制共64级，配合reg7_enhf寄存器使用，
enhf=0: 0~1F分别对应pin_mode_eq控制的32级（1~32）
enhf=1: 0~1F分别对应pin_mode_eq控制的32级（33~64）</t>
  </si>
  <si>
    <t>scp_ch1</t>
  </si>
  <si>
    <t>mode_ch1</t>
  </si>
  <si>
    <t>vod_ch1&lt;2:0&gt;</t>
  </si>
  <si>
    <t>0000 0101b</t>
  </si>
  <si>
    <t xml:space="preserve">scp_ch1=1 使能短路保护  =0关闭短路保护
mode-ch1  =1 PCIe GEN 1/2, 10GE ； =0  PCIe GEN 3, 10G-KR
vod_ch1  vod控制
 000'b = 0.6 V
 001'b = 0.7 V
 010'b = 0.8 V
 011'b = 0.9 V
 100'b = 1.0 V
 101'b = 1.1 (default)
 110'b = 1.2
 111'b = 1.26
</t>
  </si>
  <si>
    <t>dem_ch1&lt;2:0&gt;</t>
  </si>
  <si>
    <t xml:space="preserve">dem_ch1
DEM 控制
 000'b = -1.5 dB
 001'b =-3.5dB
 010'b =-5 dB 
 011'b =–7 dB
 100'b =–7.9 dB
 101'b =–9.5 dB(default)
 110'b =–10.9 dB
</t>
  </si>
  <si>
    <t>ctle_mf_ch2&lt;3:0&gt;</t>
  </si>
  <si>
    <t>rxdet_ch2&lt;1:0&gt;</t>
  </si>
  <si>
    <t xml:space="preserve">ctle_mf_ch2：采用默认
rxdet_ch0
=00'b 输入为高阻
=01‘b Auto Rx-Detect 直到检测为高阻，或检测为50R
=10’b Auto Rx-Detect 直到检测为高阻，或检测为50R
=11‘b bypass rx_det电路，输入自动为50R 
</t>
  </si>
  <si>
    <t>ctle_ctrl_ch2&lt;4:0&gt;</t>
  </si>
  <si>
    <t>ctle_ctrl_ch2
EQ控制共64级，配合reg7_enhf寄存器使用
enhf=0: 0~1F分别对应pin_mode_eq控制的32级（1~32）
enhf=1: 0~1F分别对应pin_mode_eq控制的32级（33~64）</t>
  </si>
  <si>
    <t>ctle_mf_ch3&lt;3:0&gt;</t>
  </si>
  <si>
    <t>rxdet_ch3&lt;1:0&gt;</t>
  </si>
  <si>
    <t>vga_ctrl_ch3&lt;1:0&gt;</t>
  </si>
  <si>
    <t xml:space="preserve">ctle_mf_ch3：采用默认
rxdet_ch3
=00'b 输入为高阻
=01‘b Auto Rx-Detect 直到检测为高阻，或检测为50R
=10’b Auto Rx-Detect 直到检测为高阻，或检测为50R
=11‘b bypass rx_det电路，输入自动为50R 
vga_ctrl_ch3线性度控制：
00: -2dB     01: -1dB
10:  0.5dB   11:1.5dB
</t>
  </si>
  <si>
    <t>ctle_ctrl_ch3&lt;4:0&gt;</t>
  </si>
  <si>
    <t>ctle_ctrl_ch3
EQ控制共64级，配合reg7_enhf寄存器使用，
enhf=0: 0~1F分别对应pin_mode_eq控制的32级（1~32）
enhf=1: 0~1F分别对应pin_mode_eq控制的32级（33~64）</t>
  </si>
  <si>
    <t>scp_ch3</t>
  </si>
  <si>
    <t>mode_ch3</t>
  </si>
  <si>
    <t>vod_ch3&lt;2:0&gt;</t>
  </si>
  <si>
    <t xml:space="preserve">scp_ch3=1 使能短路保护  =0关闭短路保护
mode-ch3  =1 PCIe GEN 1/2, 10GE ； =0  PCIe GEN 3, 10G-KR
vod_ch3  vod控制
 000'b = 0.6 V
 001'b = 0.7 V
 010'b = 0.8 V
 011'b = 0.9 V
 100'b = 1.0 V
 101'b = 1.1 (default)
 110'b = 1.2
 111'b = 1.26
</t>
  </si>
  <si>
    <t>dem_ch3&lt;2:0&gt;</t>
  </si>
  <si>
    <t xml:space="preserve">dem_ch3
DEM 控制
 000'b = -1.5 dB
 001'b =-3.5dB
 010'b =-5 dB 
 011'b =–7 dB
 100'b =–7.9 dB
 101'b =–9.5 dB(default)
 110'b =–10.9 dB
</t>
  </si>
  <si>
    <t>sd_vth&lt;1:0&gt;</t>
  </si>
  <si>
    <t>fast_sd&lt;1:0&gt;</t>
  </si>
  <si>
    <t>0010 1010b</t>
  </si>
  <si>
    <t xml:space="preserve">sd_vth 使能更高检测信号阈值范围
 [5]: CH0- CH3
 [4]: CH4- CH7
fast_sd 使能快速信号检测状态
 [3]: CH0- CH3
 [2]: CH4- CH7
</t>
  </si>
  <si>
    <t>ctle_mf_ch4&lt;3:0&gt;</t>
  </si>
  <si>
    <t>rxdet_ch4&lt;1:0&gt;</t>
  </si>
  <si>
    <t>vga_ctrl_ch4&lt;1:0&gt;</t>
  </si>
  <si>
    <t xml:space="preserve">ctle_mf_ch4：采用默认
rxdet_ch4
=00'b 输入为高阻
=01‘b Auto Rx-Detect 直到检测为高阻，或检测为50R
=10’b Auto Rx-Detect 直到检测为高阻，或检测为50R
=11‘b bypass rx_det电路，输入自动为50R 
vga_ctrl_ch4线性度控制：
00: -2dB     01: -1dB
10:  0.5dB   11:1.5dB
</t>
  </si>
  <si>
    <t>ctle_ctrl_ch4&lt;4:0&gt;</t>
  </si>
  <si>
    <t>ctle_ctrl_ch4
EQ控制共64级，配合reg7_enhf寄存器使用，
enhf=0: 0~1F分别对应pin_mode_eq控制的32级（1~32）
enhf=1: 0~1F分别对应pin_mode_eq控制的32级（33~64）</t>
  </si>
  <si>
    <t>scp_ch4</t>
  </si>
  <si>
    <t>mode_ch4</t>
  </si>
  <si>
    <t>vod_ch4&lt;2:0&gt;</t>
  </si>
  <si>
    <t xml:space="preserve">scp_ch4=1 使能短路保护  =0关闭短路保护
mode-ch4  =1 PCIe GEN 1/2, 10GE ； =0  PCIe GEN 3, 10G-KR
vod_ch4  vod控制
 000'b = 0.6 V
 001'b = 0.7 V
 010'b = 0.8 V
 011'b = 0.9 V
 100'b = 1.0 V
 101'b = 1.1 (default)
 110'b = 1.2
 111'b = 1.26
</t>
  </si>
  <si>
    <t>dem_ch4&lt;2:0&gt;</t>
  </si>
  <si>
    <t xml:space="preserve">dem_ch4
DEM 控制
 000'b = -1.5 dB
 001'b =-3.5dB
 010'b =-5 dB 
 011'b =–7 dB
 100'b =–7.9 dB
 101'b =–9.5 dB(default)
 110'b =–10.9 dB
</t>
  </si>
  <si>
    <t>ctle_mf_ch5&lt;3:0&gt;</t>
  </si>
  <si>
    <t>rxdet_ch5&lt;1:0&gt;</t>
  </si>
  <si>
    <t xml:space="preserve">ctle_mf_ch5：采用默认
rxdet_ch5
=00'b 输入为高阻
=01‘b Auto Rx-Detect 直到检测为高阻，或检测为50R
=10’b Auto Rx-Detect 直到检测为高阻，或检测为50R
=11‘b bypass rx_det电路，输入自动为50R 
</t>
  </si>
  <si>
    <t>ctle_ctrl_ch5&lt;4:0&gt;</t>
  </si>
  <si>
    <t>ctle_ctrl_ch5
EQ控制共64级，配合reg7_enhf寄存器使用，
enhf=0: 0~1F分别对应pin_mode_eq控制的32级（1~32）
enhf=1: 0~1F分别对应pin_mode_eq控制的32级（33~64）</t>
  </si>
  <si>
    <t>scp_ch5</t>
  </si>
  <si>
    <t>mode_ch5</t>
  </si>
  <si>
    <t>vod_ch5&lt;2:0&gt;</t>
  </si>
  <si>
    <t xml:space="preserve">scp_ch5=1 使能短路保护  =0关闭短路保护
mode-ch5  =1 PCIe GEN 1/2, 10GE ； =0  PCIe GEN 3, 10G-KR
vod_ch5  vod控制
 000'b = 0.6 V
 001'b = 0.7 V
 010'b = 0.8 V
 011'b = 0.9 V
 100'b = 1.0 V
 101'b = 1.1 (default)
 110'b = 1.2
 111'b = 1.26
</t>
  </si>
  <si>
    <t>dem_ch5&lt;2:0&gt;</t>
  </si>
  <si>
    <t xml:space="preserve">dem_ch5
DEM 控制
 000'b = -1.5 dB
 001'b =-3.5dB
 010'b =-5 dB 
 011'b =–7 dB
 100'b =–7.9 dB
 101'b =–9.5 dB(default)
 110'b =–10.9 dB
</t>
  </si>
  <si>
    <t>ctle_mf_ch6&lt;3:0&gt;</t>
  </si>
  <si>
    <t>rxdet_ch6&lt;1:0&gt;</t>
  </si>
  <si>
    <t>vga_ctrl_ch6&lt;1:0&gt;</t>
  </si>
  <si>
    <t xml:space="preserve">ctle_mf_ch6：采用默认
rxdet_ch6
=00'b 输入为高阻
=01‘b Auto Rx-Detect 直到检测为高阻，或检测为50R
=10’b Auto Rx-Detect 直到检测为高阻，或检测为50R
=11‘b bypass rx_det电路，输入自动为50R 
vga_ctrl_ch6线性度控制：
00: -2dB     01: -1dB
10:  0.5dB   11:1.5dB
</t>
  </si>
  <si>
    <t>ctle_ctrl_ch6&lt;4:0&gt;</t>
  </si>
  <si>
    <t>ctle_ctrl_ch6
EQ控制共64级，配合reg7_enhf寄存器使用，
enhf=0: 0~1F分别对应pin_mode_eq控制的32级（1~32）
enhf=1: 0~1F分别对应pin_mode_eq控制的32级（33~64）</t>
  </si>
  <si>
    <t>scp_ch6</t>
  </si>
  <si>
    <t>mode_ch6</t>
  </si>
  <si>
    <t>vod_ch6&lt;2:0&gt;</t>
  </si>
  <si>
    <t xml:space="preserve">scp_ch6=1 使能短路保护  =0关闭短路保护
mode-ch6  =1 PCIe GEN 1/2, 10GE ； =0  PCIe GEN 3, 10G-KR
vod_ch6  vod控制
 000'b = 0.6 V
 001'b = 0.7 V
 010'b = 0.8 V
 011'b = 0.9 V
 100'b = 1.0 V
 101'b = 1.1 (default)
 110'b = 1.2
 111'b = 1.26
</t>
  </si>
  <si>
    <t>dem_ch6&lt;2:0&gt;</t>
  </si>
  <si>
    <t xml:space="preserve">dem_ch6
DEM 控制
 000'b = -1.5 dB
 001'b =-3.5dB
 010'b =-5 dB 
 011'b =–7 dB
 100'b =–7.9 dB
 101'b =–9.5 dB(default)
 110'b =–10.9 dB
 </t>
  </si>
  <si>
    <t>ctle_mf_ch7&lt;3:0&gt;</t>
  </si>
  <si>
    <t>rxdet_ch7&lt;1:0&gt;</t>
  </si>
  <si>
    <t xml:space="preserve">ctle_mf_ch7：采用默认
rxdet_ch7
=00'b 输入为高阻
=01‘b Auto Rx-Detect 直到检测为高阻，或检测为50R
=10’b Auto Rx-Detect 直到检测为高阻，或检测为50R
=11‘b bypass rx_det电路，输入自动为50R 
</t>
  </si>
  <si>
    <t>ctle_ctrl_ch7&lt;4:0&gt;</t>
  </si>
  <si>
    <t>ctle_ctrl_ch7
EQ控制共64级，配合reg7_enhf寄存器使用，
enhf=0: 0~1F分别对应pin_mode_eq控制的32级（1~32）
enhf=1: 0~1F分别对应pin_mode_eq控制的32级（33~64）</t>
  </si>
  <si>
    <t>scp_ch7</t>
  </si>
  <si>
    <t>mode_ch7</t>
  </si>
  <si>
    <t>vod_ch7&lt;2:0&gt;</t>
  </si>
  <si>
    <t xml:space="preserve">scp_ch7=1 使能短路保护  =0关闭短路保护
mode-ch7  =1 PCIe GEN 1/2, 10GE ； =0  PCIe GEN 3, 10G-KR
vod_ch7  vod控制
 000'b = 0.6 V
 001'b = 0.7 V
 010'b = 0.8 V
 011'b = 0.9 V
 100'b = 1.0 V
 101'b = 1.1 (default)
 110'b = 1.2
 111'b = 1.26
</t>
  </si>
  <si>
    <t>dem_ch7&lt;2:0&gt;</t>
  </si>
  <si>
    <t xml:space="preserve">dem_ch7
DEM 控制
 000'b = -1.5 dB
 001'b =-3.5dB
 010'b =-5 dB 
 011'b =–7 dB
 100'b =–7.9 dB
 101'b =–9.5 dB(default)
 110'b =–10.9 dB
</t>
  </si>
  <si>
    <t>rxdet_sel&lt;7:0&gt;</t>
  </si>
  <si>
    <t>设置redet的检测次数
0:1次检测到50R为止
1:2次检测到50R为止</t>
  </si>
  <si>
    <t>rx_det&lt;7:0&gt;</t>
  </si>
  <si>
    <t>RRRR RRRR</t>
  </si>
  <si>
    <t>读取rx det结果</t>
  </si>
  <si>
    <t>det_losb&lt;7:0&gt;</t>
  </si>
  <si>
    <t>读取rx los_det结果</t>
  </si>
  <si>
    <t>en_clktst</t>
  </si>
  <si>
    <t>dctst_ctrl&lt;3:0&gt;</t>
  </si>
  <si>
    <t>dctst_ctrl_bgr&lt;2:0&gt;</t>
  </si>
  <si>
    <t>保持默认</t>
  </si>
  <si>
    <t>en_tstbuf</t>
  </si>
  <si>
    <t>bp_tstbuf</t>
  </si>
  <si>
    <t>rxdet_tctrl_ch3&lt;1:0&gt;</t>
  </si>
  <si>
    <t>tst_vreg21_l1</t>
  </si>
  <si>
    <t>tst_vreg21_l2</t>
  </si>
  <si>
    <t>rxdet_tctrl_ch1&lt;1:0&gt;</t>
  </si>
  <si>
    <t>rxdet_tctrl_ch7&lt;1:0&gt;</t>
  </si>
  <si>
    <t>rxdet_tctrl_ch6&lt;1:0&gt;</t>
  </si>
  <si>
    <t>rxdet_tctrl_ch5&lt;1:0&gt;</t>
  </si>
  <si>
    <t>rxdet_tctrl_ch4&lt;1:0&gt;</t>
  </si>
  <si>
    <t>vcm_ctrl_rxterm&lt;1:0&gt;</t>
  </si>
  <si>
    <t>envod_ldrv&lt;7:0&gt;</t>
  </si>
  <si>
    <t>or_sel1</t>
  </si>
  <si>
    <t>or_sel0</t>
  </si>
  <si>
    <t>or_inputen</t>
  </si>
  <si>
    <t>or_sel1
=1 禁用SEL1引脚控制
=0 允许SEL1引脚控制
or_sel0
=1 禁用SEL0引脚控制
=0 允许SEL0引脚控制
or_inputen
=1 禁用INPUT_EN引脚控制
=0 允许INPUT_EN引脚控制</t>
  </si>
  <si>
    <t>sel1&lt;1:0&gt;</t>
  </si>
  <si>
    <t>sel0&lt;1:0&gt;</t>
  </si>
  <si>
    <t>input_en&lt;1:0&gt;</t>
  </si>
  <si>
    <t>sel1
选择通道1
=00 -0 S_INB1±输入，S_OUTB1±输出
=01 -20k电阻接地S_INB1±输入, S_OUTA1±输出
=10 -悬空  S_INA1±输入,  S_OUTB1±输出
=11 -1  S_INA1±输入,  S_OUTA1±输出
sel0
选择通道0
=00 - 0 S_INB0±输入，S_OUTB0±输出
=01 - 20k电阻接地S_INB0±输入, S_OUTA0±输出
=10 - 悬空  S_INA0±输入,  S_OUTB0±输出
=11 - 1  S_INA0±输入,  S_OUTA0±输出
input_en
=00 -0  FANOUT关闭，通过SEL0/1选择A/B输入或输出，输入为50R
=01 -  20k电阻接地 
=10 - 悬空自动检测根据SEL0/1选择哪个输入/输出，FANOUT关闭
=11 -1 FANOUT启用，S_OUT0/1均打开，输入为50R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</si>
</sst>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2" fillId="3" borderId="8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84"/>
  <sheetViews>
    <sheetView tabSelected="1" zoomScale="85" zoomScaleNormal="85" topLeftCell="A4" workbookViewId="0">
      <selection activeCell="S23" sqref="S23"/>
    </sheetView>
  </sheetViews>
  <sheetFormatPr defaultColWidth="9" defaultRowHeight="13.8"/>
  <cols>
    <col min="2" max="2" width="9" hidden="1" customWidth="1"/>
    <col min="3" max="3" width="13" customWidth="1"/>
    <col min="4" max="4" width="14.7777777777778" customWidth="1"/>
    <col min="5" max="5" width="12.7777777777778" customWidth="1"/>
    <col min="6" max="6" width="11.212962962963" customWidth="1"/>
    <col min="7" max="7" width="10" customWidth="1"/>
    <col min="8" max="9" width="14.4444444444444" customWidth="1"/>
    <col min="10" max="10" width="10" customWidth="1"/>
    <col min="11" max="11" width="17.4444444444444" customWidth="1"/>
    <col min="12" max="12" width="11.212962962963" style="1" customWidth="1"/>
    <col min="13" max="13" width="33.2592592592593" customWidth="1"/>
    <col min="14" max="14" width="8.87962962962963" customWidth="1"/>
  </cols>
  <sheetData>
    <row r="3" ht="15.3" spans="1:1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3" t="s">
        <v>9</v>
      </c>
      <c r="M3" s="4" t="s">
        <v>10</v>
      </c>
    </row>
    <row r="4" ht="125" customHeight="1" spans="1:13">
      <c r="A4" s="5" t="str">
        <f t="shared" ref="A4:A6" si="0">DEC2HEX(B4)</f>
        <v>80</v>
      </c>
      <c r="B4" s="1">
        <f t="shared" ref="B4:B6" si="1">C4+128</f>
        <v>128</v>
      </c>
      <c r="C4" s="6">
        <v>0</v>
      </c>
      <c r="D4" s="7" t="s">
        <v>11</v>
      </c>
      <c r="E4" s="8" t="s">
        <v>12</v>
      </c>
      <c r="F4" s="9"/>
      <c r="G4" s="9"/>
      <c r="H4" s="10"/>
      <c r="I4" s="7" t="s">
        <v>13</v>
      </c>
      <c r="J4" s="7" t="s">
        <v>14</v>
      </c>
      <c r="K4" s="7" t="s">
        <v>15</v>
      </c>
      <c r="L4" s="6" t="s">
        <v>16</v>
      </c>
      <c r="M4" s="11" t="s">
        <v>17</v>
      </c>
    </row>
    <row r="5" ht="127" customHeight="1" spans="1:13">
      <c r="A5" s="5" t="str">
        <f t="shared" ref="A5:A36" si="2">DEC2HEX(B5)</f>
        <v>81</v>
      </c>
      <c r="B5" s="1">
        <f t="shared" si="1"/>
        <v>129</v>
      </c>
      <c r="C5" s="6">
        <v>1</v>
      </c>
      <c r="D5" s="8" t="s">
        <v>18</v>
      </c>
      <c r="E5" s="9"/>
      <c r="F5" s="9"/>
      <c r="G5" s="9"/>
      <c r="H5" s="9"/>
      <c r="I5" s="9"/>
      <c r="J5" s="9"/>
      <c r="K5" s="10"/>
      <c r="L5" s="6" t="s">
        <v>19</v>
      </c>
      <c r="M5" s="11" t="s">
        <v>20</v>
      </c>
    </row>
    <row r="6" ht="35.7" spans="1:13">
      <c r="A6" s="5" t="str">
        <f t="shared" si="2"/>
        <v>82</v>
      </c>
      <c r="B6" s="1">
        <f t="shared" si="1"/>
        <v>130</v>
      </c>
      <c r="C6" s="6">
        <v>2</v>
      </c>
      <c r="D6" s="8" t="s">
        <v>11</v>
      </c>
      <c r="E6" s="9"/>
      <c r="F6" s="9"/>
      <c r="G6" s="9"/>
      <c r="H6" s="9"/>
      <c r="I6" s="9"/>
      <c r="J6" s="10"/>
      <c r="K6" s="7" t="s">
        <v>21</v>
      </c>
      <c r="L6" s="6" t="s">
        <v>19</v>
      </c>
      <c r="M6" s="11" t="s">
        <v>22</v>
      </c>
    </row>
    <row r="7" ht="15.3" spans="1:13">
      <c r="A7" s="5" t="str">
        <f t="shared" si="2"/>
        <v>83</v>
      </c>
      <c r="B7" s="1">
        <f t="shared" ref="B7:B38" si="3">C7+128</f>
        <v>131</v>
      </c>
      <c r="C7" s="12">
        <v>3</v>
      </c>
      <c r="D7" s="8" t="s">
        <v>23</v>
      </c>
      <c r="E7" s="10"/>
      <c r="F7" s="9" t="s">
        <v>24</v>
      </c>
      <c r="G7" s="8" t="s">
        <v>11</v>
      </c>
      <c r="H7" s="9"/>
      <c r="I7" s="10"/>
      <c r="J7" s="8" t="s">
        <v>25</v>
      </c>
      <c r="K7" s="10"/>
      <c r="L7" s="6" t="s">
        <v>26</v>
      </c>
      <c r="M7" s="4" t="s">
        <v>27</v>
      </c>
    </row>
    <row r="8" ht="15.3" spans="1:13">
      <c r="A8" s="5" t="str">
        <f t="shared" si="2"/>
        <v>84</v>
      </c>
      <c r="B8" s="1">
        <f t="shared" si="3"/>
        <v>132</v>
      </c>
      <c r="C8" s="12">
        <v>4</v>
      </c>
      <c r="D8" s="8" t="s">
        <v>11</v>
      </c>
      <c r="E8" s="9"/>
      <c r="F8" s="9"/>
      <c r="G8" s="9"/>
      <c r="H8" s="9"/>
      <c r="I8" s="10"/>
      <c r="J8" s="8" t="s">
        <v>28</v>
      </c>
      <c r="K8" s="10"/>
      <c r="L8" s="6" t="s">
        <v>29</v>
      </c>
      <c r="M8" s="4" t="s">
        <v>27</v>
      </c>
    </row>
    <row r="9" ht="35.7" spans="1:13">
      <c r="A9" s="5" t="str">
        <f t="shared" si="2"/>
        <v>85</v>
      </c>
      <c r="B9" s="1">
        <f t="shared" si="3"/>
        <v>133</v>
      </c>
      <c r="C9" s="12">
        <v>5</v>
      </c>
      <c r="D9" s="8" t="s">
        <v>30</v>
      </c>
      <c r="E9" s="9"/>
      <c r="F9" s="9"/>
      <c r="G9" s="9"/>
      <c r="H9" s="9"/>
      <c r="I9" s="9"/>
      <c r="J9" s="9"/>
      <c r="K9" s="10"/>
      <c r="L9" s="6" t="s">
        <v>31</v>
      </c>
      <c r="M9" s="11" t="s">
        <v>32</v>
      </c>
    </row>
    <row r="10" ht="104.1" spans="1:13">
      <c r="A10" s="5" t="str">
        <f t="shared" si="2"/>
        <v>86</v>
      </c>
      <c r="B10" s="1">
        <f t="shared" si="3"/>
        <v>134</v>
      </c>
      <c r="C10" s="12">
        <v>6</v>
      </c>
      <c r="D10" s="13" t="s">
        <v>33</v>
      </c>
      <c r="E10" s="13" t="s">
        <v>34</v>
      </c>
      <c r="F10" s="13" t="s">
        <v>35</v>
      </c>
      <c r="G10" s="8" t="s">
        <v>11</v>
      </c>
      <c r="H10" s="9"/>
      <c r="I10" s="9"/>
      <c r="J10" s="10"/>
      <c r="K10" s="7" t="s">
        <v>36</v>
      </c>
      <c r="L10" s="14" t="s">
        <v>19</v>
      </c>
      <c r="M10" s="11" t="s">
        <v>37</v>
      </c>
    </row>
    <row r="11" ht="35.7" spans="1:13">
      <c r="A11" s="5" t="str">
        <f t="shared" si="2"/>
        <v>87</v>
      </c>
      <c r="B11" s="1">
        <f t="shared" si="3"/>
        <v>135</v>
      </c>
      <c r="C11" s="12">
        <v>7</v>
      </c>
      <c r="D11" s="8" t="s">
        <v>38</v>
      </c>
      <c r="E11" s="9"/>
      <c r="F11" s="9"/>
      <c r="G11" s="9"/>
      <c r="H11" s="9"/>
      <c r="I11" s="9"/>
      <c r="J11" s="9"/>
      <c r="K11" s="10"/>
      <c r="L11" s="6" t="s">
        <v>19</v>
      </c>
      <c r="M11" s="11" t="s">
        <v>39</v>
      </c>
    </row>
    <row r="12" ht="69.9" spans="1:13">
      <c r="A12" s="5" t="str">
        <f t="shared" si="2"/>
        <v>88</v>
      </c>
      <c r="B12" s="1">
        <f t="shared" si="3"/>
        <v>136</v>
      </c>
      <c r="C12" s="12">
        <v>8</v>
      </c>
      <c r="D12" s="8" t="s">
        <v>11</v>
      </c>
      <c r="E12" s="9"/>
      <c r="F12" s="9"/>
      <c r="G12" s="10"/>
      <c r="H12" s="7" t="s">
        <v>40</v>
      </c>
      <c r="I12" s="7" t="s">
        <v>41</v>
      </c>
      <c r="J12" s="8" t="s">
        <v>11</v>
      </c>
      <c r="K12" s="10"/>
      <c r="L12" s="6" t="s">
        <v>19</v>
      </c>
      <c r="M12" s="11" t="s">
        <v>42</v>
      </c>
    </row>
    <row r="13" ht="15.3" spans="1:13">
      <c r="A13" s="5" t="str">
        <f t="shared" si="2"/>
        <v>89</v>
      </c>
      <c r="B13" s="1">
        <f t="shared" si="3"/>
        <v>137</v>
      </c>
      <c r="C13" s="12">
        <v>9</v>
      </c>
      <c r="D13" s="15" t="s">
        <v>43</v>
      </c>
      <c r="E13" s="16"/>
      <c r="F13" s="15" t="s">
        <v>44</v>
      </c>
      <c r="G13" s="16"/>
      <c r="H13" s="15" t="s">
        <v>45</v>
      </c>
      <c r="I13" s="16"/>
      <c r="J13" s="15" t="s">
        <v>46</v>
      </c>
      <c r="K13" s="16"/>
      <c r="L13" s="14" t="s">
        <v>47</v>
      </c>
      <c r="M13" s="17" t="s">
        <v>48</v>
      </c>
    </row>
    <row r="14" ht="15.3" spans="1:13">
      <c r="A14" s="5" t="str">
        <f t="shared" si="2"/>
        <v>8A</v>
      </c>
      <c r="B14" s="1">
        <f t="shared" si="3"/>
        <v>138</v>
      </c>
      <c r="C14" s="12">
        <v>10</v>
      </c>
      <c r="D14" s="15" t="s">
        <v>49</v>
      </c>
      <c r="E14" s="16"/>
      <c r="F14" s="15" t="s">
        <v>50</v>
      </c>
      <c r="G14" s="16"/>
      <c r="H14" s="15" t="s">
        <v>51</v>
      </c>
      <c r="I14" s="16"/>
      <c r="J14" s="15" t="s">
        <v>52</v>
      </c>
      <c r="K14" s="16"/>
      <c r="L14" s="14" t="s">
        <v>47</v>
      </c>
      <c r="M14" s="18"/>
    </row>
    <row r="15" ht="15.3" spans="1:13">
      <c r="A15" s="5" t="str">
        <f t="shared" si="2"/>
        <v>8B</v>
      </c>
      <c r="B15" s="1">
        <f t="shared" si="3"/>
        <v>139</v>
      </c>
      <c r="C15" s="12">
        <v>11</v>
      </c>
      <c r="D15" s="15" t="s">
        <v>53</v>
      </c>
      <c r="E15" s="16"/>
      <c r="F15" s="15" t="s">
        <v>54</v>
      </c>
      <c r="G15" s="16"/>
      <c r="H15" s="15" t="s">
        <v>55</v>
      </c>
      <c r="I15" s="16"/>
      <c r="J15" s="15" t="s">
        <v>56</v>
      </c>
      <c r="K15" s="16"/>
      <c r="L15" s="19" t="s">
        <v>19</v>
      </c>
      <c r="M15" s="18"/>
    </row>
    <row r="16" ht="15.3" spans="1:13">
      <c r="A16" s="5" t="str">
        <f t="shared" si="2"/>
        <v>8C</v>
      </c>
      <c r="B16" s="1">
        <f t="shared" si="3"/>
        <v>140</v>
      </c>
      <c r="C16" s="12">
        <v>12</v>
      </c>
      <c r="D16" s="15" t="s">
        <v>57</v>
      </c>
      <c r="E16" s="16"/>
      <c r="F16" s="15" t="s">
        <v>58</v>
      </c>
      <c r="G16" s="16"/>
      <c r="H16" s="15" t="s">
        <v>59</v>
      </c>
      <c r="I16" s="16"/>
      <c r="J16" s="15" t="s">
        <v>60</v>
      </c>
      <c r="K16" s="16"/>
      <c r="L16" s="19" t="s">
        <v>19</v>
      </c>
      <c r="M16" s="18"/>
    </row>
    <row r="17" ht="15.3" spans="1:13">
      <c r="A17" s="5" t="str">
        <f t="shared" si="2"/>
        <v>8D</v>
      </c>
      <c r="B17" s="1">
        <f t="shared" si="3"/>
        <v>141</v>
      </c>
      <c r="C17" s="12">
        <v>13</v>
      </c>
      <c r="D17" s="15" t="s">
        <v>61</v>
      </c>
      <c r="E17" s="16"/>
      <c r="F17" s="15" t="s">
        <v>62</v>
      </c>
      <c r="G17" s="16"/>
      <c r="H17" s="15" t="s">
        <v>63</v>
      </c>
      <c r="I17" s="16"/>
      <c r="J17" s="15" t="s">
        <v>64</v>
      </c>
      <c r="K17" s="16"/>
      <c r="L17" s="20" t="s">
        <v>65</v>
      </c>
      <c r="M17" s="21"/>
    </row>
    <row r="18" ht="104.1" spans="1:13">
      <c r="A18" s="5" t="str">
        <f t="shared" si="2"/>
        <v>8E</v>
      </c>
      <c r="B18" s="1">
        <f t="shared" si="3"/>
        <v>142</v>
      </c>
      <c r="C18" s="12">
        <v>14</v>
      </c>
      <c r="D18" s="22" t="s">
        <v>66</v>
      </c>
      <c r="E18" s="23"/>
      <c r="F18" s="23"/>
      <c r="G18" s="24"/>
      <c r="H18" s="25" t="s">
        <v>67</v>
      </c>
      <c r="I18" s="26"/>
      <c r="J18" s="25" t="s">
        <v>11</v>
      </c>
      <c r="K18" s="26"/>
      <c r="L18" s="27" t="s">
        <v>68</v>
      </c>
      <c r="M18" s="11" t="s">
        <v>69</v>
      </c>
    </row>
    <row r="19" ht="76" customHeight="1" spans="1:13">
      <c r="A19" s="5" t="str">
        <f t="shared" si="2"/>
        <v>8F</v>
      </c>
      <c r="B19" s="1">
        <f t="shared" si="3"/>
        <v>143</v>
      </c>
      <c r="C19" s="12">
        <v>15</v>
      </c>
      <c r="D19" s="28" t="s">
        <v>11</v>
      </c>
      <c r="E19" s="29"/>
      <c r="F19" s="30"/>
      <c r="G19" s="31" t="s">
        <v>70</v>
      </c>
      <c r="H19" s="31"/>
      <c r="I19" s="31"/>
      <c r="J19" s="31"/>
      <c r="K19" s="26"/>
      <c r="L19" s="27" t="s">
        <v>71</v>
      </c>
      <c r="M19" s="11" t="s">
        <v>72</v>
      </c>
    </row>
    <row r="20" ht="15.3" spans="1:13">
      <c r="A20" s="5" t="str">
        <f t="shared" si="2"/>
        <v>90</v>
      </c>
      <c r="B20" s="1">
        <f t="shared" si="3"/>
        <v>144</v>
      </c>
      <c r="C20" s="12">
        <v>16</v>
      </c>
      <c r="D20" s="15" t="s">
        <v>11</v>
      </c>
      <c r="E20" s="32"/>
      <c r="F20" s="32"/>
      <c r="G20" s="32"/>
      <c r="H20" s="16"/>
      <c r="I20" s="15" t="s">
        <v>73</v>
      </c>
      <c r="J20" s="32"/>
      <c r="K20" s="16"/>
      <c r="L20" s="27" t="s">
        <v>74</v>
      </c>
      <c r="M20" s="17" t="s">
        <v>11</v>
      </c>
    </row>
    <row r="21" ht="15.3" spans="1:13">
      <c r="A21" s="5" t="str">
        <f t="shared" si="2"/>
        <v>91</v>
      </c>
      <c r="B21" s="1">
        <f t="shared" si="3"/>
        <v>145</v>
      </c>
      <c r="C21" s="12">
        <v>17</v>
      </c>
      <c r="D21" s="15" t="s">
        <v>11</v>
      </c>
      <c r="E21" s="32"/>
      <c r="F21" s="32"/>
      <c r="G21" s="32"/>
      <c r="H21" s="32"/>
      <c r="I21" s="32"/>
      <c r="J21" s="32"/>
      <c r="K21" s="16"/>
      <c r="L21" s="27" t="s">
        <v>19</v>
      </c>
      <c r="M21" s="18"/>
    </row>
    <row r="22" ht="15.3" spans="1:13">
      <c r="A22" s="5" t="str">
        <f t="shared" si="2"/>
        <v>92</v>
      </c>
      <c r="B22" s="1">
        <f t="shared" si="3"/>
        <v>146</v>
      </c>
      <c r="C22" s="12">
        <v>18</v>
      </c>
      <c r="D22" s="15" t="s">
        <v>11</v>
      </c>
      <c r="E22" s="32"/>
      <c r="F22" s="32"/>
      <c r="G22" s="32"/>
      <c r="H22" s="32"/>
      <c r="I22" s="32"/>
      <c r="J22" s="32"/>
      <c r="K22" s="16"/>
      <c r="L22" s="27" t="s">
        <v>19</v>
      </c>
      <c r="M22" s="18"/>
    </row>
    <row r="23" ht="15.3" spans="1:13">
      <c r="A23" s="5" t="str">
        <f t="shared" si="2"/>
        <v>93</v>
      </c>
      <c r="B23" s="1">
        <f t="shared" si="3"/>
        <v>147</v>
      </c>
      <c r="C23" s="12">
        <v>19</v>
      </c>
      <c r="D23" s="15" t="s">
        <v>11</v>
      </c>
      <c r="E23" s="32"/>
      <c r="F23" s="32"/>
      <c r="G23" s="32"/>
      <c r="H23" s="32"/>
      <c r="I23" s="32"/>
      <c r="J23" s="32"/>
      <c r="K23" s="16"/>
      <c r="L23" s="27" t="s">
        <v>19</v>
      </c>
      <c r="M23" s="18"/>
    </row>
    <row r="24" ht="15.3" spans="1:13">
      <c r="A24" s="5" t="str">
        <f t="shared" si="2"/>
        <v>94</v>
      </c>
      <c r="B24" s="1">
        <f t="shared" si="3"/>
        <v>148</v>
      </c>
      <c r="C24" s="12">
        <v>20</v>
      </c>
      <c r="D24" s="15" t="s">
        <v>11</v>
      </c>
      <c r="E24" s="32"/>
      <c r="F24" s="32"/>
      <c r="G24" s="32"/>
      <c r="H24" s="32"/>
      <c r="I24" s="32"/>
      <c r="J24" s="32"/>
      <c r="K24" s="16"/>
      <c r="L24" s="27" t="s">
        <v>19</v>
      </c>
      <c r="M24" s="21"/>
    </row>
    <row r="25" ht="138.3" spans="1:13">
      <c r="A25" s="5" t="str">
        <f t="shared" si="2"/>
        <v>95</v>
      </c>
      <c r="B25" s="1">
        <f t="shared" si="3"/>
        <v>149</v>
      </c>
      <c r="C25" s="12">
        <v>21</v>
      </c>
      <c r="D25" s="33" t="s">
        <v>75</v>
      </c>
      <c r="E25" s="34"/>
      <c r="F25" s="34"/>
      <c r="G25" s="35"/>
      <c r="H25" s="25" t="s">
        <v>76</v>
      </c>
      <c r="I25" s="26"/>
      <c r="J25" s="25" t="s">
        <v>77</v>
      </c>
      <c r="K25" s="26"/>
      <c r="L25" s="27" t="s">
        <v>78</v>
      </c>
      <c r="M25" s="11" t="s">
        <v>79</v>
      </c>
    </row>
    <row r="26" ht="81.3" spans="1:13">
      <c r="A26" s="5" t="str">
        <f t="shared" si="2"/>
        <v>96</v>
      </c>
      <c r="B26" s="1">
        <f t="shared" si="3"/>
        <v>150</v>
      </c>
      <c r="C26" s="12">
        <v>22</v>
      </c>
      <c r="D26" s="36" t="s">
        <v>11</v>
      </c>
      <c r="E26" s="37"/>
      <c r="F26" s="38"/>
      <c r="G26" s="34" t="s">
        <v>80</v>
      </c>
      <c r="H26" s="34"/>
      <c r="I26" s="34"/>
      <c r="J26" s="34"/>
      <c r="K26" s="35"/>
      <c r="L26" s="27" t="s">
        <v>71</v>
      </c>
      <c r="M26" s="11" t="s">
        <v>81</v>
      </c>
    </row>
    <row r="27" ht="149.7" spans="1:13">
      <c r="A27" s="5" t="str">
        <f t="shared" si="2"/>
        <v>97</v>
      </c>
      <c r="B27" s="1">
        <f t="shared" si="3"/>
        <v>151</v>
      </c>
      <c r="C27" s="12">
        <v>23</v>
      </c>
      <c r="D27" s="39" t="s">
        <v>82</v>
      </c>
      <c r="E27" s="39" t="s">
        <v>83</v>
      </c>
      <c r="F27" s="15" t="s">
        <v>11</v>
      </c>
      <c r="G27" s="32"/>
      <c r="H27" s="16"/>
      <c r="I27" s="25" t="s">
        <v>84</v>
      </c>
      <c r="J27" s="31"/>
      <c r="K27" s="26"/>
      <c r="L27" s="27" t="s">
        <v>85</v>
      </c>
      <c r="M27" s="11" t="s">
        <v>86</v>
      </c>
    </row>
    <row r="28" ht="115.5" spans="1:13">
      <c r="A28" s="5" t="str">
        <f t="shared" si="2"/>
        <v>98</v>
      </c>
      <c r="B28" s="1">
        <f t="shared" si="3"/>
        <v>152</v>
      </c>
      <c r="C28" s="12">
        <v>24</v>
      </c>
      <c r="D28" s="15" t="s">
        <v>11</v>
      </c>
      <c r="E28" s="32"/>
      <c r="F28" s="32"/>
      <c r="G28" s="32"/>
      <c r="H28" s="16"/>
      <c r="I28" s="25" t="s">
        <v>87</v>
      </c>
      <c r="J28" s="31"/>
      <c r="K28" s="26"/>
      <c r="L28" s="27" t="s">
        <v>85</v>
      </c>
      <c r="M28" s="11" t="s">
        <v>88</v>
      </c>
    </row>
    <row r="29" ht="15.3" spans="1:13">
      <c r="A29" s="5" t="str">
        <f t="shared" si="2"/>
        <v>99</v>
      </c>
      <c r="B29" s="1">
        <f t="shared" si="3"/>
        <v>153</v>
      </c>
      <c r="C29" s="12">
        <v>25</v>
      </c>
      <c r="D29" s="15" t="s">
        <v>11</v>
      </c>
      <c r="E29" s="32"/>
      <c r="F29" s="32"/>
      <c r="G29" s="32"/>
      <c r="H29" s="32"/>
      <c r="I29" s="32"/>
      <c r="J29" s="32"/>
      <c r="K29" s="16"/>
      <c r="L29" s="27" t="s">
        <v>19</v>
      </c>
      <c r="M29" s="17" t="s">
        <v>11</v>
      </c>
    </row>
    <row r="30" ht="15.3" spans="1:13">
      <c r="A30" s="5" t="str">
        <f t="shared" si="2"/>
        <v>9A</v>
      </c>
      <c r="B30" s="1">
        <f t="shared" si="3"/>
        <v>154</v>
      </c>
      <c r="C30" s="12">
        <v>26</v>
      </c>
      <c r="D30" s="15" t="s">
        <v>11</v>
      </c>
      <c r="E30" s="32"/>
      <c r="F30" s="32"/>
      <c r="G30" s="32"/>
      <c r="H30" s="32"/>
      <c r="I30" s="32"/>
      <c r="J30" s="32"/>
      <c r="K30" s="16"/>
      <c r="L30" s="27" t="s">
        <v>19</v>
      </c>
      <c r="M30" s="18"/>
    </row>
    <row r="31" ht="15.3" spans="1:13">
      <c r="A31" s="5" t="str">
        <f t="shared" si="2"/>
        <v>9B</v>
      </c>
      <c r="B31" s="1">
        <f t="shared" si="3"/>
        <v>155</v>
      </c>
      <c r="C31" s="12">
        <v>27</v>
      </c>
      <c r="D31" s="15" t="s">
        <v>11</v>
      </c>
      <c r="E31" s="32"/>
      <c r="F31" s="32"/>
      <c r="G31" s="32"/>
      <c r="H31" s="32"/>
      <c r="I31" s="32"/>
      <c r="J31" s="32"/>
      <c r="K31" s="16"/>
      <c r="L31" s="27" t="s">
        <v>19</v>
      </c>
      <c r="M31" s="21"/>
    </row>
    <row r="32" ht="104.1" spans="1:13">
      <c r="A32" s="5" t="str">
        <f t="shared" si="2"/>
        <v>9C</v>
      </c>
      <c r="B32" s="1">
        <f t="shared" si="3"/>
        <v>156</v>
      </c>
      <c r="C32" s="12">
        <v>28</v>
      </c>
      <c r="D32" s="33" t="s">
        <v>89</v>
      </c>
      <c r="E32" s="34"/>
      <c r="F32" s="34"/>
      <c r="G32" s="35"/>
      <c r="H32" s="25" t="s">
        <v>90</v>
      </c>
      <c r="I32" s="26"/>
      <c r="J32" s="25" t="s">
        <v>11</v>
      </c>
      <c r="K32" s="26"/>
      <c r="L32" s="27" t="s">
        <v>68</v>
      </c>
      <c r="M32" s="11" t="s">
        <v>91</v>
      </c>
    </row>
    <row r="33" ht="69.9" spans="1:13">
      <c r="A33" s="5" t="str">
        <f t="shared" si="2"/>
        <v>9D</v>
      </c>
      <c r="B33" s="1">
        <f t="shared" si="3"/>
        <v>157</v>
      </c>
      <c r="C33" s="12">
        <v>29</v>
      </c>
      <c r="D33" s="36" t="s">
        <v>11</v>
      </c>
      <c r="E33" s="37"/>
      <c r="F33" s="38"/>
      <c r="G33" s="34" t="s">
        <v>92</v>
      </c>
      <c r="H33" s="34"/>
      <c r="I33" s="34"/>
      <c r="J33" s="34"/>
      <c r="K33" s="35"/>
      <c r="L33" s="27" t="s">
        <v>71</v>
      </c>
      <c r="M33" s="11" t="s">
        <v>93</v>
      </c>
    </row>
    <row r="34" ht="15.3" spans="1:13">
      <c r="A34" s="5" t="str">
        <f t="shared" si="2"/>
        <v>9E</v>
      </c>
      <c r="B34" s="1">
        <f t="shared" si="3"/>
        <v>158</v>
      </c>
      <c r="C34" s="12">
        <v>30</v>
      </c>
      <c r="D34" s="15" t="s">
        <v>11</v>
      </c>
      <c r="E34" s="32"/>
      <c r="F34" s="32"/>
      <c r="G34" s="32"/>
      <c r="H34" s="32"/>
      <c r="I34" s="32"/>
      <c r="J34" s="32"/>
      <c r="K34" s="16"/>
      <c r="L34" s="27" t="s">
        <v>19</v>
      </c>
      <c r="M34" s="17" t="s">
        <v>11</v>
      </c>
    </row>
    <row r="35" ht="15.3" spans="1:13">
      <c r="A35" s="5" t="str">
        <f t="shared" si="2"/>
        <v>9F</v>
      </c>
      <c r="B35" s="1">
        <f t="shared" si="3"/>
        <v>159</v>
      </c>
      <c r="C35" s="12">
        <v>31</v>
      </c>
      <c r="D35" s="15" t="s">
        <v>11</v>
      </c>
      <c r="E35" s="32"/>
      <c r="F35" s="32"/>
      <c r="G35" s="32"/>
      <c r="H35" s="32"/>
      <c r="I35" s="32"/>
      <c r="J35" s="32"/>
      <c r="K35" s="16"/>
      <c r="L35" s="27" t="s">
        <v>19</v>
      </c>
      <c r="M35" s="18"/>
    </row>
    <row r="36" ht="15.3" spans="1:13">
      <c r="A36" s="5" t="str">
        <f t="shared" si="2"/>
        <v>A0</v>
      </c>
      <c r="B36" s="1">
        <f t="shared" si="3"/>
        <v>160</v>
      </c>
      <c r="C36" s="12">
        <v>32</v>
      </c>
      <c r="D36" s="15" t="s">
        <v>11</v>
      </c>
      <c r="E36" s="32"/>
      <c r="F36" s="32"/>
      <c r="G36" s="32"/>
      <c r="H36" s="32"/>
      <c r="I36" s="32"/>
      <c r="J36" s="32"/>
      <c r="K36" s="16"/>
      <c r="L36" s="27" t="s">
        <v>19</v>
      </c>
      <c r="M36" s="18"/>
    </row>
    <row r="37" ht="15.3" spans="1:13">
      <c r="A37" s="5" t="str">
        <f t="shared" ref="A37:A68" si="4">DEC2HEX(B37)</f>
        <v>A1</v>
      </c>
      <c r="B37" s="1">
        <f t="shared" si="3"/>
        <v>161</v>
      </c>
      <c r="C37" s="12">
        <v>33</v>
      </c>
      <c r="D37" s="15" t="s">
        <v>11</v>
      </c>
      <c r="E37" s="32"/>
      <c r="F37" s="32"/>
      <c r="G37" s="32"/>
      <c r="H37" s="32"/>
      <c r="I37" s="32"/>
      <c r="J37" s="32"/>
      <c r="K37" s="16"/>
      <c r="L37" s="27" t="s">
        <v>19</v>
      </c>
      <c r="M37" s="18"/>
    </row>
    <row r="38" ht="15.3" spans="1:13">
      <c r="A38" s="5" t="str">
        <f t="shared" si="4"/>
        <v>A2</v>
      </c>
      <c r="B38" s="1">
        <f t="shared" si="3"/>
        <v>162</v>
      </c>
      <c r="C38" s="12">
        <v>34</v>
      </c>
      <c r="D38" s="15" t="s">
        <v>11</v>
      </c>
      <c r="E38" s="32"/>
      <c r="F38" s="32"/>
      <c r="G38" s="32"/>
      <c r="H38" s="32"/>
      <c r="I38" s="32"/>
      <c r="J38" s="32"/>
      <c r="K38" s="16"/>
      <c r="L38" s="27" t="s">
        <v>19</v>
      </c>
      <c r="M38" s="21"/>
    </row>
    <row r="39" ht="138.3" spans="1:13">
      <c r="A39" s="5" t="str">
        <f t="shared" si="4"/>
        <v>A3</v>
      </c>
      <c r="B39" s="1">
        <f t="shared" ref="B39:B70" si="5">C39+128</f>
        <v>163</v>
      </c>
      <c r="C39" s="12">
        <v>35</v>
      </c>
      <c r="D39" s="33" t="s">
        <v>94</v>
      </c>
      <c r="E39" s="34"/>
      <c r="F39" s="34"/>
      <c r="G39" s="35"/>
      <c r="H39" s="25" t="s">
        <v>95</v>
      </c>
      <c r="I39" s="26"/>
      <c r="J39" s="25" t="s">
        <v>96</v>
      </c>
      <c r="K39" s="26"/>
      <c r="L39" s="27" t="s">
        <v>78</v>
      </c>
      <c r="M39" s="11" t="s">
        <v>97</v>
      </c>
    </row>
    <row r="40" ht="81.3" spans="1:13">
      <c r="A40" s="5" t="str">
        <f t="shared" si="4"/>
        <v>A4</v>
      </c>
      <c r="B40" s="1">
        <f t="shared" si="5"/>
        <v>164</v>
      </c>
      <c r="C40" s="12">
        <v>36</v>
      </c>
      <c r="D40" s="36" t="s">
        <v>11</v>
      </c>
      <c r="E40" s="37"/>
      <c r="F40" s="38"/>
      <c r="G40" s="23" t="s">
        <v>98</v>
      </c>
      <c r="H40" s="23"/>
      <c r="I40" s="23"/>
      <c r="J40" s="23"/>
      <c r="K40" s="24"/>
      <c r="L40" s="27" t="s">
        <v>71</v>
      </c>
      <c r="M40" s="11" t="s">
        <v>99</v>
      </c>
    </row>
    <row r="41" ht="149.7" spans="1:13">
      <c r="A41" s="5" t="str">
        <f t="shared" si="4"/>
        <v>A5</v>
      </c>
      <c r="B41" s="1">
        <f t="shared" si="5"/>
        <v>165</v>
      </c>
      <c r="C41" s="12">
        <v>37</v>
      </c>
      <c r="D41" s="39" t="s">
        <v>100</v>
      </c>
      <c r="E41" s="39" t="s">
        <v>101</v>
      </c>
      <c r="F41" s="15" t="s">
        <v>11</v>
      </c>
      <c r="G41" s="32"/>
      <c r="H41" s="16"/>
      <c r="I41" s="15" t="s">
        <v>102</v>
      </c>
      <c r="J41" s="32"/>
      <c r="K41" s="16"/>
      <c r="L41" s="27" t="s">
        <v>85</v>
      </c>
      <c r="M41" s="11" t="s">
        <v>103</v>
      </c>
    </row>
    <row r="42" ht="115.5" spans="1:13">
      <c r="A42" s="5" t="str">
        <f t="shared" si="4"/>
        <v>A6</v>
      </c>
      <c r="B42" s="1">
        <f t="shared" si="5"/>
        <v>166</v>
      </c>
      <c r="C42" s="12">
        <v>38</v>
      </c>
      <c r="D42" s="15" t="s">
        <v>11</v>
      </c>
      <c r="E42" s="32"/>
      <c r="F42" s="32"/>
      <c r="G42" s="32"/>
      <c r="H42" s="16"/>
      <c r="I42" s="25" t="s">
        <v>104</v>
      </c>
      <c r="J42" s="31"/>
      <c r="K42" s="26"/>
      <c r="L42" s="27" t="s">
        <v>85</v>
      </c>
      <c r="M42" s="11" t="s">
        <v>105</v>
      </c>
    </row>
    <row r="43" ht="15.3" spans="1:13">
      <c r="A43" s="5" t="str">
        <f t="shared" si="4"/>
        <v>A7</v>
      </c>
      <c r="B43" s="1">
        <f t="shared" si="5"/>
        <v>167</v>
      </c>
      <c r="C43" s="12">
        <v>39</v>
      </c>
      <c r="D43" s="15" t="s">
        <v>11</v>
      </c>
      <c r="E43" s="32"/>
      <c r="F43" s="32"/>
      <c r="G43" s="32"/>
      <c r="H43" s="32"/>
      <c r="I43" s="32"/>
      <c r="J43" s="32"/>
      <c r="K43" s="16"/>
      <c r="L43" s="27" t="s">
        <v>19</v>
      </c>
      <c r="M43" s="4" t="s">
        <v>11</v>
      </c>
    </row>
    <row r="44" ht="77" customHeight="1" spans="1:13">
      <c r="A44" s="5" t="str">
        <f t="shared" si="4"/>
        <v>A8</v>
      </c>
      <c r="B44" s="1">
        <f t="shared" si="5"/>
        <v>168</v>
      </c>
      <c r="C44" s="12">
        <v>40</v>
      </c>
      <c r="D44" s="15" t="s">
        <v>11</v>
      </c>
      <c r="E44" s="16"/>
      <c r="F44" s="15" t="s">
        <v>106</v>
      </c>
      <c r="G44" s="16"/>
      <c r="H44" s="15" t="s">
        <v>107</v>
      </c>
      <c r="I44" s="16"/>
      <c r="J44" s="15" t="s">
        <v>11</v>
      </c>
      <c r="K44" s="16"/>
      <c r="L44" s="14" t="s">
        <v>108</v>
      </c>
      <c r="M44" s="11" t="s">
        <v>109</v>
      </c>
    </row>
    <row r="45" ht="15.3" spans="1:13">
      <c r="A45" s="5" t="str">
        <f t="shared" si="4"/>
        <v>A9</v>
      </c>
      <c r="B45" s="1">
        <f t="shared" si="5"/>
        <v>169</v>
      </c>
      <c r="C45" s="12">
        <v>41</v>
      </c>
      <c r="D45" s="15" t="s">
        <v>11</v>
      </c>
      <c r="E45" s="32"/>
      <c r="F45" s="32"/>
      <c r="G45" s="32"/>
      <c r="H45" s="32"/>
      <c r="I45" s="32"/>
      <c r="J45" s="32"/>
      <c r="K45" s="16"/>
      <c r="L45" s="27" t="s">
        <v>19</v>
      </c>
      <c r="M45" s="17" t="s">
        <v>11</v>
      </c>
    </row>
    <row r="46" ht="15.3" spans="1:13">
      <c r="A46" s="5" t="str">
        <f t="shared" si="4"/>
        <v>AA</v>
      </c>
      <c r="B46" s="1">
        <f t="shared" si="5"/>
        <v>170</v>
      </c>
      <c r="C46" s="12">
        <v>42</v>
      </c>
      <c r="D46" s="15" t="s">
        <v>11</v>
      </c>
      <c r="E46" s="32"/>
      <c r="F46" s="32"/>
      <c r="G46" s="32"/>
      <c r="H46" s="32"/>
      <c r="I46" s="32"/>
      <c r="J46" s="32"/>
      <c r="K46" s="16"/>
      <c r="L46" s="27" t="s">
        <v>19</v>
      </c>
      <c r="M46" s="21"/>
    </row>
    <row r="47" ht="138.3" spans="1:13">
      <c r="A47" s="5" t="str">
        <f t="shared" si="4"/>
        <v>AB</v>
      </c>
      <c r="B47" s="1">
        <f t="shared" si="5"/>
        <v>171</v>
      </c>
      <c r="C47" s="12">
        <v>43</v>
      </c>
      <c r="D47" s="33" t="s">
        <v>110</v>
      </c>
      <c r="E47" s="34"/>
      <c r="F47" s="34"/>
      <c r="G47" s="35"/>
      <c r="H47" s="25" t="s">
        <v>111</v>
      </c>
      <c r="I47" s="26"/>
      <c r="J47" s="25" t="s">
        <v>112</v>
      </c>
      <c r="K47" s="26"/>
      <c r="L47" s="27" t="s">
        <v>78</v>
      </c>
      <c r="M47" s="11" t="s">
        <v>113</v>
      </c>
    </row>
    <row r="48" ht="81.3" spans="1:13">
      <c r="A48" s="5" t="str">
        <f t="shared" si="4"/>
        <v>AC</v>
      </c>
      <c r="B48" s="1">
        <f t="shared" si="5"/>
        <v>172</v>
      </c>
      <c r="C48" s="12">
        <v>44</v>
      </c>
      <c r="D48" s="36" t="s">
        <v>11</v>
      </c>
      <c r="E48" s="37"/>
      <c r="F48" s="38"/>
      <c r="G48" s="34" t="s">
        <v>114</v>
      </c>
      <c r="H48" s="34"/>
      <c r="I48" s="34"/>
      <c r="J48" s="34"/>
      <c r="K48" s="35"/>
      <c r="L48" s="27" t="s">
        <v>71</v>
      </c>
      <c r="M48" s="11" t="s">
        <v>115</v>
      </c>
    </row>
    <row r="49" ht="149.7" spans="1:13">
      <c r="A49" s="5" t="str">
        <f t="shared" si="4"/>
        <v>AD</v>
      </c>
      <c r="B49" s="1">
        <f t="shared" si="5"/>
        <v>173</v>
      </c>
      <c r="C49" s="12">
        <v>45</v>
      </c>
      <c r="D49" s="39" t="s">
        <v>116</v>
      </c>
      <c r="E49" s="39" t="s">
        <v>117</v>
      </c>
      <c r="F49" s="15" t="s">
        <v>11</v>
      </c>
      <c r="G49" s="32"/>
      <c r="H49" s="16"/>
      <c r="I49" s="15" t="s">
        <v>118</v>
      </c>
      <c r="J49" s="32"/>
      <c r="K49" s="16"/>
      <c r="L49" s="27" t="s">
        <v>85</v>
      </c>
      <c r="M49" s="11" t="s">
        <v>119</v>
      </c>
    </row>
    <row r="50" ht="115.5" spans="1:13">
      <c r="A50" s="5" t="str">
        <f t="shared" si="4"/>
        <v>AE</v>
      </c>
      <c r="B50" s="1">
        <f t="shared" si="5"/>
        <v>174</v>
      </c>
      <c r="C50" s="12">
        <v>46</v>
      </c>
      <c r="D50" s="15" t="s">
        <v>11</v>
      </c>
      <c r="E50" s="32"/>
      <c r="F50" s="32"/>
      <c r="G50" s="32"/>
      <c r="H50" s="16"/>
      <c r="I50" s="25" t="s">
        <v>120</v>
      </c>
      <c r="J50" s="31"/>
      <c r="K50" s="26"/>
      <c r="L50" s="27" t="s">
        <v>85</v>
      </c>
      <c r="M50" s="11" t="s">
        <v>121</v>
      </c>
    </row>
    <row r="51" ht="15.3" spans="1:13">
      <c r="A51" s="5" t="str">
        <f t="shared" si="4"/>
        <v>AF</v>
      </c>
      <c r="B51" s="1">
        <f t="shared" si="5"/>
        <v>175</v>
      </c>
      <c r="C51" s="12">
        <v>47</v>
      </c>
      <c r="D51" s="15" t="s">
        <v>11</v>
      </c>
      <c r="E51" s="32"/>
      <c r="F51" s="32"/>
      <c r="G51" s="32"/>
      <c r="H51" s="32"/>
      <c r="I51" s="32"/>
      <c r="J51" s="32"/>
      <c r="K51" s="16"/>
      <c r="L51" s="27" t="s">
        <v>19</v>
      </c>
      <c r="M51" s="17" t="s">
        <v>11</v>
      </c>
    </row>
    <row r="52" ht="15.3" spans="1:13">
      <c r="A52" s="5" t="str">
        <f t="shared" si="4"/>
        <v>B0</v>
      </c>
      <c r="B52" s="1">
        <f t="shared" si="5"/>
        <v>176</v>
      </c>
      <c r="C52" s="12">
        <v>48</v>
      </c>
      <c r="D52" s="15" t="s">
        <v>11</v>
      </c>
      <c r="E52" s="32"/>
      <c r="F52" s="32"/>
      <c r="G52" s="32"/>
      <c r="H52" s="32"/>
      <c r="I52" s="32"/>
      <c r="J52" s="32"/>
      <c r="K52" s="16"/>
      <c r="L52" s="27" t="s">
        <v>19</v>
      </c>
      <c r="M52" s="18"/>
    </row>
    <row r="53" ht="15.3" spans="1:13">
      <c r="A53" s="5" t="str">
        <f t="shared" si="4"/>
        <v>B1</v>
      </c>
      <c r="B53" s="1">
        <f t="shared" si="5"/>
        <v>177</v>
      </c>
      <c r="C53" s="12">
        <v>49</v>
      </c>
      <c r="D53" s="15" t="s">
        <v>11</v>
      </c>
      <c r="E53" s="32"/>
      <c r="F53" s="32"/>
      <c r="G53" s="32"/>
      <c r="H53" s="32"/>
      <c r="I53" s="32"/>
      <c r="J53" s="32"/>
      <c r="K53" s="16"/>
      <c r="L53" s="27" t="s">
        <v>19</v>
      </c>
      <c r="M53" s="21"/>
    </row>
    <row r="54" ht="111" customHeight="1" spans="1:13">
      <c r="A54" s="5" t="str">
        <f t="shared" si="4"/>
        <v>B2</v>
      </c>
      <c r="B54" s="1">
        <f t="shared" si="5"/>
        <v>178</v>
      </c>
      <c r="C54" s="12">
        <v>50</v>
      </c>
      <c r="D54" s="33" t="s">
        <v>122</v>
      </c>
      <c r="E54" s="34"/>
      <c r="F54" s="34"/>
      <c r="G54" s="35"/>
      <c r="H54" s="25" t="s">
        <v>123</v>
      </c>
      <c r="I54" s="26"/>
      <c r="J54" s="15" t="s">
        <v>11</v>
      </c>
      <c r="K54" s="16"/>
      <c r="L54" s="27" t="s">
        <v>68</v>
      </c>
      <c r="M54" s="11" t="s">
        <v>124</v>
      </c>
    </row>
    <row r="55" ht="81.3" spans="1:13">
      <c r="A55" s="5" t="str">
        <f t="shared" si="4"/>
        <v>B3</v>
      </c>
      <c r="B55" s="1">
        <f t="shared" si="5"/>
        <v>179</v>
      </c>
      <c r="C55" s="12">
        <v>51</v>
      </c>
      <c r="D55" s="36" t="s">
        <v>11</v>
      </c>
      <c r="E55" s="37"/>
      <c r="F55" s="38"/>
      <c r="G55" s="34" t="s">
        <v>125</v>
      </c>
      <c r="H55" s="34"/>
      <c r="I55" s="34"/>
      <c r="J55" s="34"/>
      <c r="K55" s="35"/>
      <c r="L55" s="27" t="s">
        <v>71</v>
      </c>
      <c r="M55" s="11" t="s">
        <v>126</v>
      </c>
    </row>
    <row r="56" ht="149.7" spans="1:13">
      <c r="A56" s="5" t="str">
        <f t="shared" si="4"/>
        <v>B4</v>
      </c>
      <c r="B56" s="1">
        <f t="shared" si="5"/>
        <v>180</v>
      </c>
      <c r="C56" s="12">
        <v>52</v>
      </c>
      <c r="D56" s="39" t="s">
        <v>127</v>
      </c>
      <c r="E56" s="39" t="s">
        <v>128</v>
      </c>
      <c r="F56" s="15" t="s">
        <v>11</v>
      </c>
      <c r="G56" s="32"/>
      <c r="H56" s="16"/>
      <c r="I56" s="15" t="s">
        <v>129</v>
      </c>
      <c r="J56" s="32"/>
      <c r="K56" s="16"/>
      <c r="L56" s="27" t="s">
        <v>85</v>
      </c>
      <c r="M56" s="11" t="s">
        <v>130</v>
      </c>
    </row>
    <row r="57" ht="115.5" spans="1:13">
      <c r="A57" s="5" t="str">
        <f t="shared" si="4"/>
        <v>B5</v>
      </c>
      <c r="B57" s="1">
        <f t="shared" si="5"/>
        <v>181</v>
      </c>
      <c r="C57" s="12">
        <v>53</v>
      </c>
      <c r="D57" s="15" t="s">
        <v>11</v>
      </c>
      <c r="E57" s="32"/>
      <c r="F57" s="32"/>
      <c r="G57" s="32"/>
      <c r="H57" s="16"/>
      <c r="I57" s="25" t="s">
        <v>131</v>
      </c>
      <c r="J57" s="31"/>
      <c r="K57" s="26"/>
      <c r="L57" s="27" t="s">
        <v>85</v>
      </c>
      <c r="M57" s="11" t="s">
        <v>132</v>
      </c>
    </row>
    <row r="58" ht="15.3" spans="1:13">
      <c r="A58" s="5" t="str">
        <f t="shared" si="4"/>
        <v>B6</v>
      </c>
      <c r="B58" s="1">
        <f t="shared" si="5"/>
        <v>182</v>
      </c>
      <c r="C58" s="12">
        <v>54</v>
      </c>
      <c r="D58" s="15" t="s">
        <v>11</v>
      </c>
      <c r="E58" s="32"/>
      <c r="F58" s="32"/>
      <c r="G58" s="32"/>
      <c r="H58" s="32"/>
      <c r="I58" s="32"/>
      <c r="J58" s="32"/>
      <c r="K58" s="16"/>
      <c r="L58" s="27" t="s">
        <v>19</v>
      </c>
      <c r="M58" s="17" t="s">
        <v>11</v>
      </c>
    </row>
    <row r="59" ht="15.3" spans="1:13">
      <c r="A59" s="5" t="str">
        <f t="shared" si="4"/>
        <v>B7</v>
      </c>
      <c r="B59" s="1">
        <f t="shared" si="5"/>
        <v>183</v>
      </c>
      <c r="C59" s="12">
        <v>55</v>
      </c>
      <c r="D59" s="15" t="s">
        <v>11</v>
      </c>
      <c r="E59" s="32"/>
      <c r="F59" s="32"/>
      <c r="G59" s="32"/>
      <c r="H59" s="32"/>
      <c r="I59" s="32"/>
      <c r="J59" s="32"/>
      <c r="K59" s="16"/>
      <c r="L59" s="27" t="s">
        <v>19</v>
      </c>
      <c r="M59" s="18"/>
    </row>
    <row r="60" ht="17.4" customHeight="1" spans="1:13">
      <c r="A60" s="5" t="str">
        <f t="shared" si="4"/>
        <v>B8</v>
      </c>
      <c r="B60" s="1">
        <f t="shared" si="5"/>
        <v>184</v>
      </c>
      <c r="C60" s="12">
        <v>56</v>
      </c>
      <c r="D60" s="15" t="s">
        <v>11</v>
      </c>
      <c r="E60" s="32"/>
      <c r="F60" s="32"/>
      <c r="G60" s="32"/>
      <c r="H60" s="32"/>
      <c r="I60" s="32"/>
      <c r="J60" s="32"/>
      <c r="K60" s="16"/>
      <c r="L60" s="27" t="s">
        <v>19</v>
      </c>
      <c r="M60" s="21"/>
    </row>
    <row r="61" ht="138.3" spans="1:13">
      <c r="A61" s="5" t="str">
        <f t="shared" si="4"/>
        <v>B9</v>
      </c>
      <c r="B61" s="1">
        <f t="shared" si="5"/>
        <v>185</v>
      </c>
      <c r="C61" s="12">
        <v>57</v>
      </c>
      <c r="D61" s="33" t="s">
        <v>133</v>
      </c>
      <c r="E61" s="34"/>
      <c r="F61" s="34"/>
      <c r="G61" s="35"/>
      <c r="H61" s="25" t="s">
        <v>134</v>
      </c>
      <c r="I61" s="26"/>
      <c r="J61" s="25" t="s">
        <v>135</v>
      </c>
      <c r="K61" s="26"/>
      <c r="L61" s="27" t="s">
        <v>78</v>
      </c>
      <c r="M61" s="11" t="s">
        <v>136</v>
      </c>
    </row>
    <row r="62" ht="81.3" spans="1:13">
      <c r="A62" s="5" t="str">
        <f t="shared" si="4"/>
        <v>BA</v>
      </c>
      <c r="B62" s="1">
        <f t="shared" si="5"/>
        <v>186</v>
      </c>
      <c r="C62" s="12">
        <v>58</v>
      </c>
      <c r="D62" s="36" t="s">
        <v>11</v>
      </c>
      <c r="E62" s="37"/>
      <c r="F62" s="38"/>
      <c r="G62" s="34" t="s">
        <v>137</v>
      </c>
      <c r="H62" s="34"/>
      <c r="I62" s="34"/>
      <c r="J62" s="34"/>
      <c r="K62" s="35"/>
      <c r="L62" s="27" t="s">
        <v>71</v>
      </c>
      <c r="M62" s="11" t="s">
        <v>138</v>
      </c>
    </row>
    <row r="63" ht="149.7" spans="1:13">
      <c r="A63" s="5" t="str">
        <f t="shared" si="4"/>
        <v>BB</v>
      </c>
      <c r="B63" s="1">
        <f t="shared" si="5"/>
        <v>187</v>
      </c>
      <c r="C63" s="12">
        <v>59</v>
      </c>
      <c r="D63" s="39" t="s">
        <v>139</v>
      </c>
      <c r="E63" s="39" t="s">
        <v>140</v>
      </c>
      <c r="F63" s="15" t="s">
        <v>11</v>
      </c>
      <c r="G63" s="32"/>
      <c r="H63" s="16"/>
      <c r="I63" s="15" t="s">
        <v>141</v>
      </c>
      <c r="J63" s="32"/>
      <c r="K63" s="16"/>
      <c r="L63" s="27" t="s">
        <v>85</v>
      </c>
      <c r="M63" s="11" t="s">
        <v>142</v>
      </c>
    </row>
    <row r="64" ht="115.5" spans="1:13">
      <c r="A64" s="5" t="str">
        <f t="shared" si="4"/>
        <v>BC</v>
      </c>
      <c r="B64" s="1">
        <f t="shared" si="5"/>
        <v>188</v>
      </c>
      <c r="C64" s="12">
        <v>60</v>
      </c>
      <c r="D64" s="15" t="s">
        <v>11</v>
      </c>
      <c r="E64" s="32"/>
      <c r="F64" s="32"/>
      <c r="G64" s="32"/>
      <c r="H64" s="16"/>
      <c r="I64" s="25" t="s">
        <v>143</v>
      </c>
      <c r="J64" s="31"/>
      <c r="K64" s="26"/>
      <c r="L64" s="27" t="s">
        <v>85</v>
      </c>
      <c r="M64" s="11" t="s">
        <v>144</v>
      </c>
    </row>
    <row r="65" ht="15.3" spans="1:13">
      <c r="A65" s="5" t="str">
        <f t="shared" si="4"/>
        <v>BD</v>
      </c>
      <c r="B65" s="1">
        <f t="shared" si="5"/>
        <v>189</v>
      </c>
      <c r="C65" s="12">
        <v>61</v>
      </c>
      <c r="D65" s="15" t="s">
        <v>11</v>
      </c>
      <c r="E65" s="32"/>
      <c r="F65" s="32"/>
      <c r="G65" s="32"/>
      <c r="H65" s="32"/>
      <c r="I65" s="32"/>
      <c r="J65" s="32"/>
      <c r="K65" s="16"/>
      <c r="L65" s="27" t="s">
        <v>19</v>
      </c>
      <c r="M65" s="17" t="s">
        <v>11</v>
      </c>
    </row>
    <row r="66" ht="15.3" spans="1:13">
      <c r="A66" s="5" t="str">
        <f t="shared" si="4"/>
        <v>BE</v>
      </c>
      <c r="B66" s="1">
        <f t="shared" si="5"/>
        <v>190</v>
      </c>
      <c r="C66" s="12">
        <v>62</v>
      </c>
      <c r="D66" s="15" t="s">
        <v>11</v>
      </c>
      <c r="E66" s="32"/>
      <c r="F66" s="32"/>
      <c r="G66" s="32"/>
      <c r="H66" s="32"/>
      <c r="I66" s="32"/>
      <c r="J66" s="32"/>
      <c r="K66" s="16"/>
      <c r="L66" s="27" t="s">
        <v>19</v>
      </c>
      <c r="M66" s="18"/>
    </row>
    <row r="67" ht="15.3" spans="1:13">
      <c r="A67" s="5" t="str">
        <f t="shared" si="4"/>
        <v>BF</v>
      </c>
      <c r="B67" s="1">
        <f t="shared" si="5"/>
        <v>191</v>
      </c>
      <c r="C67" s="12">
        <v>63</v>
      </c>
      <c r="D67" s="15" t="s">
        <v>11</v>
      </c>
      <c r="E67" s="32"/>
      <c r="F67" s="32"/>
      <c r="G67" s="32"/>
      <c r="H67" s="32"/>
      <c r="I67" s="32"/>
      <c r="J67" s="32"/>
      <c r="K67" s="16"/>
      <c r="L67" s="27" t="s">
        <v>19</v>
      </c>
      <c r="M67" s="21"/>
    </row>
    <row r="68" ht="115.5" spans="1:13">
      <c r="A68" s="5" t="str">
        <f t="shared" si="4"/>
        <v>C0</v>
      </c>
      <c r="B68" s="1">
        <f t="shared" si="5"/>
        <v>192</v>
      </c>
      <c r="C68" s="12">
        <v>64</v>
      </c>
      <c r="D68" s="33" t="s">
        <v>145</v>
      </c>
      <c r="E68" s="34"/>
      <c r="F68" s="34"/>
      <c r="G68" s="35"/>
      <c r="H68" s="25" t="s">
        <v>146</v>
      </c>
      <c r="I68" s="26"/>
      <c r="J68" s="15" t="s">
        <v>11</v>
      </c>
      <c r="K68" s="16"/>
      <c r="L68" s="27" t="s">
        <v>68</v>
      </c>
      <c r="M68" s="11" t="s">
        <v>147</v>
      </c>
    </row>
    <row r="69" ht="81.3" spans="1:13">
      <c r="A69" s="5" t="str">
        <f>DEC2HEX(B69)</f>
        <v>C1</v>
      </c>
      <c r="B69" s="1">
        <f t="shared" si="5"/>
        <v>193</v>
      </c>
      <c r="C69" s="12">
        <v>65</v>
      </c>
      <c r="D69" s="36" t="s">
        <v>11</v>
      </c>
      <c r="E69" s="37"/>
      <c r="F69" s="38"/>
      <c r="G69" s="34" t="s">
        <v>148</v>
      </c>
      <c r="H69" s="34"/>
      <c r="I69" s="34"/>
      <c r="J69" s="34"/>
      <c r="K69" s="35"/>
      <c r="L69" s="27" t="s">
        <v>71</v>
      </c>
      <c r="M69" s="11" t="s">
        <v>149</v>
      </c>
    </row>
    <row r="70" ht="149.7" spans="1:13">
      <c r="A70" s="5" t="str">
        <f>DEC2HEX(B70)</f>
        <v>C2</v>
      </c>
      <c r="B70" s="1">
        <f t="shared" si="5"/>
        <v>194</v>
      </c>
      <c r="C70" s="12">
        <v>66</v>
      </c>
      <c r="D70" s="39" t="s">
        <v>150</v>
      </c>
      <c r="E70" s="39" t="s">
        <v>151</v>
      </c>
      <c r="F70" s="15" t="s">
        <v>11</v>
      </c>
      <c r="G70" s="32"/>
      <c r="H70" s="16"/>
      <c r="I70" s="15" t="s">
        <v>152</v>
      </c>
      <c r="J70" s="32"/>
      <c r="K70" s="16"/>
      <c r="L70" s="27" t="s">
        <v>85</v>
      </c>
      <c r="M70" s="11" t="s">
        <v>153</v>
      </c>
    </row>
    <row r="71" ht="115.5" spans="1:13">
      <c r="A71" s="5" t="str">
        <f>DEC2HEX(B71)</f>
        <v>C3</v>
      </c>
      <c r="B71" s="1">
        <f>C71+128</f>
        <v>195</v>
      </c>
      <c r="C71" s="12">
        <v>67</v>
      </c>
      <c r="D71" s="15" t="s">
        <v>11</v>
      </c>
      <c r="E71" s="32"/>
      <c r="F71" s="32"/>
      <c r="G71" s="32"/>
      <c r="H71" s="16"/>
      <c r="I71" s="25" t="s">
        <v>154</v>
      </c>
      <c r="J71" s="31"/>
      <c r="K71" s="26"/>
      <c r="L71" s="27" t="s">
        <v>85</v>
      </c>
      <c r="M71" s="11" t="s">
        <v>155</v>
      </c>
    </row>
    <row r="72" ht="35.7" spans="1:13">
      <c r="A72" s="5" t="str">
        <f>DEC2HEX(B72)</f>
        <v>C4</v>
      </c>
      <c r="B72" s="1">
        <f>C72+128</f>
        <v>196</v>
      </c>
      <c r="C72" s="12">
        <v>68</v>
      </c>
      <c r="D72" s="33" t="s">
        <v>156</v>
      </c>
      <c r="E72" s="34"/>
      <c r="F72" s="34"/>
      <c r="G72" s="34"/>
      <c r="H72" s="34"/>
      <c r="I72" s="34"/>
      <c r="J72" s="34"/>
      <c r="K72" s="35"/>
      <c r="L72" s="27" t="s">
        <v>19</v>
      </c>
      <c r="M72" s="40" t="s">
        <v>157</v>
      </c>
    </row>
    <row r="73" ht="15.3" spans="1:13">
      <c r="A73" s="5" t="str">
        <f>DEC2HEX(B73)</f>
        <v>C5</v>
      </c>
      <c r="B73" s="1">
        <f>C73+128</f>
        <v>197</v>
      </c>
      <c r="C73" s="12">
        <v>69</v>
      </c>
      <c r="D73" s="15" t="s">
        <v>158</v>
      </c>
      <c r="E73" s="32"/>
      <c r="F73" s="32"/>
      <c r="G73" s="32"/>
      <c r="H73" s="32"/>
      <c r="I73" s="32"/>
      <c r="J73" s="32"/>
      <c r="K73" s="16"/>
      <c r="L73" s="27" t="s">
        <v>159</v>
      </c>
      <c r="M73" s="4" t="s">
        <v>160</v>
      </c>
    </row>
    <row r="74" ht="15.3" spans="1:13">
      <c r="A74" s="5" t="str">
        <f>DEC2HEX(B74)</f>
        <v>C6</v>
      </c>
      <c r="B74" s="1">
        <f>C74+128</f>
        <v>198</v>
      </c>
      <c r="C74" s="12">
        <v>70</v>
      </c>
      <c r="D74" s="15" t="s">
        <v>161</v>
      </c>
      <c r="E74" s="32"/>
      <c r="F74" s="32"/>
      <c r="G74" s="32"/>
      <c r="H74" s="32"/>
      <c r="I74" s="32"/>
      <c r="J74" s="32"/>
      <c r="K74" s="16"/>
      <c r="L74" s="27" t="s">
        <v>159</v>
      </c>
      <c r="M74" s="4" t="s">
        <v>162</v>
      </c>
    </row>
    <row r="75" ht="15.3" spans="1:13">
      <c r="A75" s="5" t="str">
        <f>DEC2HEX(B75)</f>
        <v>C7</v>
      </c>
      <c r="B75" s="1">
        <f>C75+128</f>
        <v>199</v>
      </c>
      <c r="C75" s="12">
        <v>71</v>
      </c>
      <c r="D75" s="15" t="s">
        <v>11</v>
      </c>
      <c r="E75" s="32"/>
      <c r="F75" s="32"/>
      <c r="G75" s="32"/>
      <c r="H75" s="32"/>
      <c r="I75" s="32"/>
      <c r="J75" s="32"/>
      <c r="K75" s="16"/>
      <c r="L75" s="27" t="s">
        <v>19</v>
      </c>
      <c r="M75" s="17" t="s">
        <v>11</v>
      </c>
    </row>
    <row r="76" ht="15.3" spans="1:13">
      <c r="A76" s="5" t="str">
        <f>DEC2HEX(B76)</f>
        <v>C8</v>
      </c>
      <c r="B76" s="1">
        <f>C76+128</f>
        <v>200</v>
      </c>
      <c r="C76" s="12">
        <v>72</v>
      </c>
      <c r="D76" s="15" t="s">
        <v>11</v>
      </c>
      <c r="E76" s="32"/>
      <c r="F76" s="32"/>
      <c r="G76" s="32"/>
      <c r="H76" s="32"/>
      <c r="I76" s="32"/>
      <c r="J76" s="32"/>
      <c r="K76" s="16"/>
      <c r="L76" s="27" t="s">
        <v>19</v>
      </c>
      <c r="M76" s="21"/>
    </row>
    <row r="77" ht="15.3" spans="1:13">
      <c r="A77" s="5" t="str">
        <f>DEC2HEX(B77)</f>
        <v>C9</v>
      </c>
      <c r="B77" s="1">
        <f>C77+128</f>
        <v>201</v>
      </c>
      <c r="C77" s="12">
        <v>73</v>
      </c>
      <c r="D77" s="39" t="s">
        <v>163</v>
      </c>
      <c r="E77" s="15" t="s">
        <v>164</v>
      </c>
      <c r="F77" s="32"/>
      <c r="G77" s="32"/>
      <c r="H77" s="16"/>
      <c r="I77" s="15" t="s">
        <v>165</v>
      </c>
      <c r="J77" s="32"/>
      <c r="K77" s="16"/>
      <c r="L77" s="27" t="s">
        <v>19</v>
      </c>
      <c r="M77" s="17" t="s">
        <v>166</v>
      </c>
    </row>
    <row r="78" ht="15.3" spans="1:13">
      <c r="A78" s="5" t="str">
        <f>DEC2HEX(B78)</f>
        <v>CA</v>
      </c>
      <c r="B78" s="1">
        <f>C78+128</f>
        <v>202</v>
      </c>
      <c r="C78" s="12">
        <v>74</v>
      </c>
      <c r="D78" s="39" t="s">
        <v>167</v>
      </c>
      <c r="E78" s="39" t="s">
        <v>168</v>
      </c>
      <c r="F78" s="15" t="s">
        <v>169</v>
      </c>
      <c r="G78" s="16"/>
      <c r="H78" s="39" t="s">
        <v>170</v>
      </c>
      <c r="I78" s="39" t="s">
        <v>171</v>
      </c>
      <c r="J78" s="15" t="s">
        <v>172</v>
      </c>
      <c r="K78" s="16"/>
      <c r="L78" s="27" t="s">
        <v>19</v>
      </c>
      <c r="M78" s="18"/>
    </row>
    <row r="79" ht="15.3" spans="1:13">
      <c r="A79" s="5" t="str">
        <f>DEC2HEX(B79)</f>
        <v>CB</v>
      </c>
      <c r="B79" s="1">
        <f>C79+128</f>
        <v>203</v>
      </c>
      <c r="C79" s="12">
        <v>75</v>
      </c>
      <c r="D79" s="15" t="s">
        <v>173</v>
      </c>
      <c r="E79" s="16"/>
      <c r="F79" s="15" t="s">
        <v>174</v>
      </c>
      <c r="G79" s="16"/>
      <c r="H79" s="15" t="s">
        <v>175</v>
      </c>
      <c r="I79" s="16"/>
      <c r="J79" s="15" t="s">
        <v>176</v>
      </c>
      <c r="K79" s="16"/>
      <c r="L79" s="27" t="s">
        <v>19</v>
      </c>
      <c r="M79" s="18"/>
    </row>
    <row r="80" ht="15.3" spans="1:13">
      <c r="A80" s="5" t="str">
        <f>DEC2HEX(B80)</f>
        <v>CC</v>
      </c>
      <c r="B80" s="1">
        <f>C80+128</f>
        <v>204</v>
      </c>
      <c r="C80" s="12">
        <v>76</v>
      </c>
      <c r="D80" s="15" t="s">
        <v>11</v>
      </c>
      <c r="E80" s="32"/>
      <c r="F80" s="32"/>
      <c r="G80" s="32"/>
      <c r="H80" s="32"/>
      <c r="I80" s="16"/>
      <c r="J80" s="15" t="s">
        <v>177</v>
      </c>
      <c r="K80" s="16"/>
      <c r="L80" s="27" t="s">
        <v>29</v>
      </c>
      <c r="M80" s="18"/>
    </row>
    <row r="81" ht="15.3" spans="1:13">
      <c r="A81" s="5" t="str">
        <f>DEC2HEX(B81)</f>
        <v>CD</v>
      </c>
      <c r="B81" s="1">
        <f>C81+128</f>
        <v>205</v>
      </c>
      <c r="C81" s="12">
        <v>77</v>
      </c>
      <c r="D81" s="15" t="s">
        <v>178</v>
      </c>
      <c r="E81" s="32"/>
      <c r="F81" s="32"/>
      <c r="G81" s="32"/>
      <c r="H81" s="32"/>
      <c r="I81" s="32"/>
      <c r="J81" s="32"/>
      <c r="K81" s="16"/>
      <c r="L81" s="27" t="s">
        <v>19</v>
      </c>
      <c r="M81" s="21"/>
    </row>
    <row r="82" ht="104.1" spans="1:13">
      <c r="A82" s="5" t="str">
        <f>DEC2HEX(B82)</f>
        <v>CE</v>
      </c>
      <c r="B82" s="1">
        <f>C82+128</f>
        <v>206</v>
      </c>
      <c r="C82" s="12">
        <v>78</v>
      </c>
      <c r="D82" s="15" t="s">
        <v>11</v>
      </c>
      <c r="E82" s="32"/>
      <c r="F82" s="32"/>
      <c r="G82" s="32"/>
      <c r="H82" s="16"/>
      <c r="I82" s="39" t="s">
        <v>179</v>
      </c>
      <c r="J82" s="39" t="s">
        <v>180</v>
      </c>
      <c r="K82" s="39" t="s">
        <v>181</v>
      </c>
      <c r="L82" s="27" t="s">
        <v>19</v>
      </c>
      <c r="M82" s="11" t="s">
        <v>182</v>
      </c>
    </row>
    <row r="83" ht="252.3" spans="1:13">
      <c r="A83" s="5" t="str">
        <f>DEC2HEX(B83)</f>
        <v>CF</v>
      </c>
      <c r="B83" s="1">
        <f>C83+128</f>
        <v>207</v>
      </c>
      <c r="C83" s="12">
        <v>79</v>
      </c>
      <c r="D83" s="15" t="s">
        <v>183</v>
      </c>
      <c r="E83" s="16"/>
      <c r="F83" s="15" t="s">
        <v>184</v>
      </c>
      <c r="G83" s="16"/>
      <c r="H83" s="15" t="s">
        <v>185</v>
      </c>
      <c r="I83" s="16"/>
      <c r="J83" s="15" t="s">
        <v>11</v>
      </c>
      <c r="K83" s="16"/>
      <c r="L83" s="27" t="s">
        <v>19</v>
      </c>
      <c r="M83" s="11" t="s">
        <v>186</v>
      </c>
    </row>
    <row r="84" ht="14.55"/>
  </sheetData>
  <mergeCells count="158">
    <mergeCell ref="E4:H4"/>
    <mergeCell ref="D5:K5"/>
    <mergeCell ref="D6:J6"/>
    <mergeCell ref="D7:E7"/>
    <mergeCell ref="G7:I7"/>
    <mergeCell ref="J7:K7"/>
    <mergeCell ref="D8:I8"/>
    <mergeCell ref="J8:K8"/>
    <mergeCell ref="D9:K9"/>
    <mergeCell ref="G10:J10"/>
    <mergeCell ref="D11:K11"/>
    <mergeCell ref="D12:G12"/>
    <mergeCell ref="J12:K12"/>
    <mergeCell ref="D13:E13"/>
    <mergeCell ref="F13:G13"/>
    <mergeCell ref="H13:I13"/>
    <mergeCell ref="J13:K13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8:G18"/>
    <mergeCell ref="H18:I18"/>
    <mergeCell ref="J18:K18"/>
    <mergeCell ref="D19:F19"/>
    <mergeCell ref="G19:K19"/>
    <mergeCell ref="D20:H20"/>
    <mergeCell ref="I20:K20"/>
    <mergeCell ref="D21:K21"/>
    <mergeCell ref="D22:K22"/>
    <mergeCell ref="D23:K23"/>
    <mergeCell ref="D24:K24"/>
    <mergeCell ref="D25:G25"/>
    <mergeCell ref="H25:I25"/>
    <mergeCell ref="J25:K25"/>
    <mergeCell ref="D26:F26"/>
    <mergeCell ref="G26:K26"/>
    <mergeCell ref="F27:H27"/>
    <mergeCell ref="I27:K27"/>
    <mergeCell ref="D28:H28"/>
    <mergeCell ref="I28:K28"/>
    <mergeCell ref="D29:K29"/>
    <mergeCell ref="D30:K30"/>
    <mergeCell ref="D31:K31"/>
    <mergeCell ref="D32:G32"/>
    <mergeCell ref="H32:I32"/>
    <mergeCell ref="J32:K32"/>
    <mergeCell ref="D33:F33"/>
    <mergeCell ref="G33:K33"/>
    <mergeCell ref="D34:K34"/>
    <mergeCell ref="D35:K35"/>
    <mergeCell ref="D36:K36"/>
    <mergeCell ref="D37:K37"/>
    <mergeCell ref="D38:K38"/>
    <mergeCell ref="D39:G39"/>
    <mergeCell ref="H39:I39"/>
    <mergeCell ref="J39:K39"/>
    <mergeCell ref="D40:F40"/>
    <mergeCell ref="G40:K40"/>
    <mergeCell ref="F41:H41"/>
    <mergeCell ref="I41:K41"/>
    <mergeCell ref="D42:H42"/>
    <mergeCell ref="I42:K42"/>
    <mergeCell ref="D43:K43"/>
    <mergeCell ref="D44:E44"/>
    <mergeCell ref="F44:G44"/>
    <mergeCell ref="H44:I44"/>
    <mergeCell ref="J44:K44"/>
    <mergeCell ref="D45:K45"/>
    <mergeCell ref="D46:K46"/>
    <mergeCell ref="D47:G47"/>
    <mergeCell ref="H47:I47"/>
    <mergeCell ref="J47:K47"/>
    <mergeCell ref="D48:F48"/>
    <mergeCell ref="G48:K48"/>
    <mergeCell ref="F49:H49"/>
    <mergeCell ref="I49:K49"/>
    <mergeCell ref="D50:H50"/>
    <mergeCell ref="I50:K50"/>
    <mergeCell ref="D51:K51"/>
    <mergeCell ref="D52:K52"/>
    <mergeCell ref="D53:K53"/>
    <mergeCell ref="D54:G54"/>
    <mergeCell ref="H54:I54"/>
    <mergeCell ref="J54:K54"/>
    <mergeCell ref="D55:F55"/>
    <mergeCell ref="G55:K55"/>
    <mergeCell ref="F56:H56"/>
    <mergeCell ref="I56:K56"/>
    <mergeCell ref="D57:H57"/>
    <mergeCell ref="I57:K57"/>
    <mergeCell ref="D58:K58"/>
    <mergeCell ref="D59:K59"/>
    <mergeCell ref="D60:K60"/>
    <mergeCell ref="D61:G61"/>
    <mergeCell ref="H61:I61"/>
    <mergeCell ref="J61:K61"/>
    <mergeCell ref="D62:F62"/>
    <mergeCell ref="G62:K62"/>
    <mergeCell ref="F63:H63"/>
    <mergeCell ref="I63:K63"/>
    <mergeCell ref="D64:H64"/>
    <mergeCell ref="I64:K64"/>
    <mergeCell ref="D65:K65"/>
    <mergeCell ref="D66:K66"/>
    <mergeCell ref="D67:K67"/>
    <mergeCell ref="D68:G68"/>
    <mergeCell ref="H68:I68"/>
    <mergeCell ref="J68:K68"/>
    <mergeCell ref="D69:F69"/>
    <mergeCell ref="G69:K69"/>
    <mergeCell ref="F70:H70"/>
    <mergeCell ref="I70:K70"/>
    <mergeCell ref="D71:H71"/>
    <mergeCell ref="I71:K71"/>
    <mergeCell ref="D72:K72"/>
    <mergeCell ref="D73:K73"/>
    <mergeCell ref="D74:K74"/>
    <mergeCell ref="D75:K75"/>
    <mergeCell ref="D76:K76"/>
    <mergeCell ref="E77:H77"/>
    <mergeCell ref="I77:K77"/>
    <mergeCell ref="F78:G78"/>
    <mergeCell ref="J78:K78"/>
    <mergeCell ref="D79:E79"/>
    <mergeCell ref="F79:G79"/>
    <mergeCell ref="H79:I79"/>
    <mergeCell ref="J79:K79"/>
    <mergeCell ref="D80:I80"/>
    <mergeCell ref="J80:K80"/>
    <mergeCell ref="D81:K81"/>
    <mergeCell ref="D82:H82"/>
    <mergeCell ref="D83:E83"/>
    <mergeCell ref="F83:G83"/>
    <mergeCell ref="H83:I83"/>
    <mergeCell ref="J83:K83"/>
    <mergeCell ref="M13:M17"/>
    <mergeCell ref="M20:M24"/>
    <mergeCell ref="M29:M31"/>
    <mergeCell ref="M34:M38"/>
    <mergeCell ref="M45:M46"/>
    <mergeCell ref="M51:M53"/>
    <mergeCell ref="M58:M60"/>
    <mergeCell ref="M65:M67"/>
    <mergeCell ref="M75:M76"/>
    <mergeCell ref="M77:M8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</dc:creator>
  <cp:lastModifiedBy>李震</cp:lastModifiedBy>
  <dcterms:created xsi:type="dcterms:W3CDTF">2023-03-17T01:36:00Z</dcterms:created>
  <dcterms:modified xsi:type="dcterms:W3CDTF">2026-05-22T10:28:50Z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052B452BD0DC4D8DAFEFC6C499633011_13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